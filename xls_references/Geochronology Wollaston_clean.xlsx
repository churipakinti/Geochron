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a7a3c1b263fa40/Documents/02_Academic_files/02_USask_PhD/02_Writing/01_Proposal/05_geochronology/xls_references/"/>
    </mc:Choice>
  </mc:AlternateContent>
  <xr:revisionPtr revIDLastSave="1558" documentId="8_{4835C86F-BDE9-4C64-BC24-ECCC690438C7}" xr6:coauthVersionLast="47" xr6:coauthVersionMax="47" xr10:uidLastSave="{1AECBAF4-D8A9-4255-BC86-477EE7BFC5DE}"/>
  <bookViews>
    <workbookView xWindow="-120" yWindow="-120" windowWidth="38640" windowHeight="21120" activeTab="7" xr2:uid="{B7E92D48-8E07-41B0-890F-C47E4E90DEE6}"/>
  </bookViews>
  <sheets>
    <sheet name="Final_table" sheetId="17" r:id="rId1"/>
    <sheet name="others" sheetId="20" r:id="rId2"/>
    <sheet name="Order table" sheetId="19" r:id="rId3"/>
    <sheet name="Xlookup_table" sheetId="14" r:id="rId4"/>
    <sheet name="Unique_values" sheetId="15" r:id="rId5"/>
    <sheet name="No_duplicates" sheetId="16" r:id="rId6"/>
    <sheet name="Working table" sheetId="13" r:id="rId7"/>
    <sheet name="Raw" sheetId="2" r:id="rId8"/>
    <sheet name="Working table (2)" sheetId="18" r:id="rId9"/>
  </sheets>
  <definedNames>
    <definedName name="_xlnm._FilterDatabase" localSheetId="0" hidden="1">Final_table!$B$1:$J$55</definedName>
    <definedName name="_xlnm._FilterDatabase" localSheetId="5" hidden="1">No_duplicates!#REF!</definedName>
    <definedName name="_xlnm._FilterDatabase" localSheetId="7" hidden="1">Raw!#REF!</definedName>
    <definedName name="_xlnm._FilterDatabase" localSheetId="6" hidden="1">'Working table'!$A$1:$Y$98</definedName>
    <definedName name="_xlnm._FilterDatabase" localSheetId="8" hidden="1">'Working table (2)'!#REF!</definedName>
    <definedName name="_xlnm._FilterDatabase" localSheetId="3" hidden="1">Xlookup_table!$B$1:$G$54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4" l="1" a="1"/>
  <c r="E21" i="14" s="1"/>
  <c r="E23" i="14" a="1"/>
  <c r="E23" i="14" s="1"/>
  <c r="E25" i="14" a="1"/>
  <c r="E25" i="14" s="1"/>
  <c r="E26" i="14" a="1"/>
  <c r="E26" i="14" s="1"/>
  <c r="E35" i="14" a="1"/>
  <c r="E35" i="14" s="1"/>
  <c r="E36" i="14" a="1"/>
  <c r="E36" i="14" s="1"/>
  <c r="E37" i="14" a="1"/>
  <c r="E37" i="14" s="1"/>
  <c r="E41" i="14" a="1"/>
  <c r="E41" i="14" s="1"/>
  <c r="E43" i="14" a="1"/>
  <c r="E43" i="14"/>
  <c r="E46" i="14" a="1"/>
  <c r="E46" i="14" s="1"/>
  <c r="E49" i="14" a="1"/>
  <c r="E49" i="14" s="1"/>
  <c r="E50" i="14" a="1"/>
  <c r="E50" i="14" s="1"/>
  <c r="E53" i="14" a="1"/>
  <c r="E53" i="14" s="1"/>
  <c r="E54" i="14" a="1"/>
  <c r="E54" i="14" s="1"/>
  <c r="D17" i="14" a="1"/>
  <c r="D17" i="14" s="1"/>
  <c r="D18" i="14" a="1"/>
  <c r="D18" i="14"/>
  <c r="D19" i="14" a="1"/>
  <c r="D19" i="14" s="1"/>
  <c r="D24" i="14" a="1"/>
  <c r="D24" i="14" s="1"/>
  <c r="D34" i="14" a="1"/>
  <c r="D34" i="14" s="1"/>
  <c r="D45" i="14" a="1"/>
  <c r="D45" i="14" s="1"/>
  <c r="D48" i="14" a="1"/>
  <c r="D48" i="14" s="1"/>
  <c r="D49" i="14" a="1"/>
  <c r="D49" i="14" s="1"/>
  <c r="D51" i="14" a="1"/>
  <c r="D51" i="14" s="1"/>
  <c r="I54" i="14"/>
  <c r="H54" i="14"/>
  <c r="E5" i="14" a="1"/>
  <c r="E5" i="14"/>
  <c r="E6" i="14" a="1"/>
  <c r="E6" i="14" s="1"/>
  <c r="E13" i="14" a="1"/>
  <c r="E13" i="14" s="1"/>
  <c r="D3" i="14" a="1"/>
  <c r="D3" i="14" s="1"/>
  <c r="D4" i="14" a="1"/>
  <c r="D4" i="14" s="1"/>
  <c r="D8" i="14" a="1"/>
  <c r="D8" i="14" s="1"/>
  <c r="D12" i="14" a="1"/>
  <c r="D12" i="14" s="1"/>
  <c r="D14" i="14" a="1"/>
  <c r="D14" i="14" s="1"/>
  <c r="D15" i="14" a="1"/>
  <c r="D15" i="14" s="1"/>
  <c r="D2" i="14" a="1"/>
  <c r="D2" i="14" s="1"/>
  <c r="G43" i="13"/>
  <c r="L43" i="13" s="1"/>
  <c r="D54" i="14" s="1" a="1"/>
  <c r="D54" i="14" s="1"/>
  <c r="K77" i="13"/>
  <c r="K43" i="13"/>
  <c r="C54" i="14"/>
  <c r="B3" i="15" a="1"/>
  <c r="B3" i="15" s="1"/>
  <c r="G77" i="13"/>
  <c r="L77" i="13" s="1"/>
  <c r="I18" i="17" l="1" a="1"/>
  <c r="I18" i="17" s="1"/>
  <c r="I20" i="17" a="1"/>
  <c r="I20" i="17" s="1"/>
  <c r="I31" i="17" a="1"/>
  <c r="I31" i="17" s="1"/>
  <c r="I37" i="17" a="1"/>
  <c r="I37" i="17" s="1"/>
  <c r="I23" i="17" a="1"/>
  <c r="I23" i="17" s="1"/>
  <c r="I36" i="17" a="1"/>
  <c r="I36" i="17" s="1"/>
  <c r="I41" i="17" a="1"/>
  <c r="I41" i="17" s="1"/>
  <c r="I35" i="17" a="1"/>
  <c r="I35" i="17" s="1"/>
  <c r="I34" i="17" a="1"/>
  <c r="I34" i="17" s="1"/>
  <c r="I22" i="17" a="1"/>
  <c r="I22" i="17" s="1"/>
  <c r="I30" i="17" a="1"/>
  <c r="I30" i="17" s="1"/>
  <c r="I19" i="17" a="1"/>
  <c r="I19" i="17" s="1"/>
  <c r="I38" i="17" a="1"/>
  <c r="I38" i="17" s="1"/>
  <c r="I40" i="17" a="1"/>
  <c r="I40" i="17" s="1"/>
  <c r="I39" i="17" a="1"/>
  <c r="I39" i="17" s="1"/>
  <c r="I5" i="17" a="1"/>
  <c r="I5" i="17" s="1"/>
  <c r="I42" i="17" a="1"/>
  <c r="I42" i="17" s="1"/>
  <c r="I32" i="17" a="1"/>
  <c r="I32" i="17" s="1"/>
  <c r="I24" i="17" a="1"/>
  <c r="I24" i="17" s="1"/>
  <c r="I25" i="17" a="1"/>
  <c r="I25" i="17" s="1"/>
  <c r="I7" i="17" a="1"/>
  <c r="I7" i="17"/>
  <c r="I6" i="17" a="1"/>
  <c r="I6" i="17" s="1"/>
  <c r="I26" i="17" a="1"/>
  <c r="I26" i="17" s="1"/>
  <c r="I44" i="17" a="1"/>
  <c r="I44" i="17" s="1"/>
  <c r="I45" i="17" a="1"/>
  <c r="I45" i="17" s="1"/>
  <c r="I8" i="17" a="1"/>
  <c r="I8" i="17" s="1"/>
  <c r="I43" i="17" a="1"/>
  <c r="I43" i="17" s="1"/>
  <c r="I10" i="17" a="1"/>
  <c r="I10" i="17" s="1"/>
  <c r="I46" i="17" a="1"/>
  <c r="I46" i="17" s="1"/>
  <c r="I9" i="17" a="1"/>
  <c r="I9" i="17" s="1"/>
  <c r="I11" i="17" a="1"/>
  <c r="I11" i="17" s="1"/>
  <c r="I2" i="17" a="1"/>
  <c r="I2" i="17" s="1"/>
  <c r="I3" i="17" a="1"/>
  <c r="I3" i="17" s="1"/>
  <c r="I15" i="17" a="1"/>
  <c r="I15" i="17" s="1"/>
  <c r="I48" i="17" a="1"/>
  <c r="I48" i="17" s="1"/>
  <c r="I27" i="17" a="1"/>
  <c r="I27" i="17" s="1"/>
  <c r="I33" i="17" a="1"/>
  <c r="I33" i="17" s="1"/>
  <c r="I50" i="17" a="1"/>
  <c r="I50" i="17" s="1"/>
  <c r="I14" i="17" a="1"/>
  <c r="I14" i="17" s="1"/>
  <c r="I49" i="17" a="1"/>
  <c r="I49" i="17" s="1"/>
  <c r="I16" i="17" a="1"/>
  <c r="I16" i="17" s="1"/>
  <c r="I51" i="17" a="1"/>
  <c r="I51" i="17" s="1"/>
  <c r="I47" i="17" a="1"/>
  <c r="I47" i="17" s="1"/>
  <c r="I17" i="17" a="1"/>
  <c r="I17" i="17" s="1"/>
  <c r="I52" i="17" a="1"/>
  <c r="I52" i="17" s="1"/>
  <c r="I21" i="17" a="1"/>
  <c r="I21" i="17" s="1"/>
  <c r="I13" i="17" a="1"/>
  <c r="I13" i="17" s="1"/>
  <c r="I12" i="17" a="1"/>
  <c r="I12" i="17" s="1"/>
  <c r="I53" i="17" a="1"/>
  <c r="I53" i="17" s="1"/>
  <c r="I28" i="17" a="1"/>
  <c r="I28" i="17" s="1"/>
  <c r="I29" i="17" a="1"/>
  <c r="I29" i="17" s="1"/>
  <c r="I4" i="17" a="1"/>
  <c r="I4" i="17" s="1"/>
  <c r="F3" i="14" a="1"/>
  <c r="F3" i="14" s="1"/>
  <c r="G3" i="14" a="1"/>
  <c r="G3" i="14" s="1"/>
  <c r="H3" i="14"/>
  <c r="I3" i="14"/>
  <c r="F4" i="14" a="1"/>
  <c r="F4" i="14" s="1"/>
  <c r="G4" i="14" a="1"/>
  <c r="G4" i="14" s="1"/>
  <c r="H4" i="14"/>
  <c r="I4" i="14"/>
  <c r="F5" i="14" a="1"/>
  <c r="F5" i="14" s="1"/>
  <c r="G5" i="14" a="1"/>
  <c r="G5" i="14" s="1"/>
  <c r="H5" i="14"/>
  <c r="I5" i="14"/>
  <c r="F6" i="14" a="1"/>
  <c r="F6" i="14" s="1"/>
  <c r="G6" i="14" a="1"/>
  <c r="G6" i="14" s="1"/>
  <c r="H6" i="14"/>
  <c r="I6" i="14"/>
  <c r="F7" i="14" a="1"/>
  <c r="F7" i="14" s="1"/>
  <c r="G7" i="14" a="1"/>
  <c r="G7" i="14" s="1"/>
  <c r="H7" i="14"/>
  <c r="I7" i="14"/>
  <c r="F8" i="14" a="1"/>
  <c r="F8" i="14" s="1"/>
  <c r="G8" i="14" a="1"/>
  <c r="G8" i="14" s="1"/>
  <c r="H8" i="14"/>
  <c r="I8" i="14"/>
  <c r="F9" i="14" a="1"/>
  <c r="F9" i="14" s="1"/>
  <c r="G9" i="14" a="1"/>
  <c r="G9" i="14" s="1"/>
  <c r="H9" i="14"/>
  <c r="I9" i="14"/>
  <c r="F10" i="14" a="1"/>
  <c r="F10" i="14" s="1"/>
  <c r="G10" i="14" a="1"/>
  <c r="G10" i="14" s="1"/>
  <c r="H10" i="14"/>
  <c r="I10" i="14"/>
  <c r="F11" i="14" a="1"/>
  <c r="F11" i="14" s="1"/>
  <c r="G11" i="14" a="1"/>
  <c r="G11" i="14" s="1"/>
  <c r="H11" i="14"/>
  <c r="I11" i="14"/>
  <c r="F12" i="14" a="1"/>
  <c r="F12" i="14" s="1"/>
  <c r="G12" i="14" a="1"/>
  <c r="G12" i="14" s="1"/>
  <c r="H12" i="14"/>
  <c r="I12" i="14"/>
  <c r="F13" i="14" a="1"/>
  <c r="F13" i="14" s="1"/>
  <c r="G13" i="14" a="1"/>
  <c r="G13" i="14" s="1"/>
  <c r="H13" i="14"/>
  <c r="I13" i="14"/>
  <c r="F14" i="14" a="1"/>
  <c r="F14" i="14" s="1"/>
  <c r="G14" i="14" a="1"/>
  <c r="G14" i="14" s="1"/>
  <c r="H14" i="14"/>
  <c r="I14" i="14"/>
  <c r="F15" i="14" a="1"/>
  <c r="F15" i="14" s="1"/>
  <c r="G15" i="14" a="1"/>
  <c r="G15" i="14" s="1"/>
  <c r="H15" i="14"/>
  <c r="I15" i="14"/>
  <c r="F16" i="14" a="1"/>
  <c r="F16" i="14" s="1"/>
  <c r="G16" i="14" a="1"/>
  <c r="G16" i="14" s="1"/>
  <c r="H16" i="14"/>
  <c r="I16" i="14"/>
  <c r="F17" i="14" a="1"/>
  <c r="F17" i="14" s="1"/>
  <c r="G17" i="14" a="1"/>
  <c r="G17" i="14" s="1"/>
  <c r="H17" i="14"/>
  <c r="I17" i="14"/>
  <c r="F18" i="14" a="1"/>
  <c r="F18" i="14" s="1"/>
  <c r="G18" i="14" a="1"/>
  <c r="G18" i="14" s="1"/>
  <c r="H18" i="14"/>
  <c r="I18" i="14"/>
  <c r="F19" i="14" a="1"/>
  <c r="F19" i="14" s="1"/>
  <c r="G19" i="14" a="1"/>
  <c r="G19" i="14" s="1"/>
  <c r="H19" i="14"/>
  <c r="I19" i="14"/>
  <c r="F20" i="14" a="1"/>
  <c r="F20" i="14" s="1"/>
  <c r="G20" i="14" a="1"/>
  <c r="G20" i="14" s="1"/>
  <c r="H20" i="14"/>
  <c r="I20" i="14"/>
  <c r="F21" i="14" a="1"/>
  <c r="F21" i="14" s="1"/>
  <c r="G21" i="14" a="1"/>
  <c r="G21" i="14" s="1"/>
  <c r="H21" i="14"/>
  <c r="I21" i="14"/>
  <c r="F22" i="14" a="1"/>
  <c r="F22" i="14" s="1"/>
  <c r="G22" i="14" a="1"/>
  <c r="G22" i="14" s="1"/>
  <c r="H22" i="14"/>
  <c r="I22" i="14"/>
  <c r="F23" i="14" a="1"/>
  <c r="F23" i="14" s="1"/>
  <c r="G23" i="14" a="1"/>
  <c r="G23" i="14" s="1"/>
  <c r="H23" i="14"/>
  <c r="I23" i="14"/>
  <c r="F24" i="14" a="1"/>
  <c r="F24" i="14" s="1"/>
  <c r="G24" i="14" a="1"/>
  <c r="G24" i="14" s="1"/>
  <c r="H24" i="14"/>
  <c r="I24" i="14"/>
  <c r="F25" i="14" a="1"/>
  <c r="F25" i="14" s="1"/>
  <c r="G25" i="14" a="1"/>
  <c r="G25" i="14" s="1"/>
  <c r="H25" i="14"/>
  <c r="I25" i="14"/>
  <c r="G26" i="14" a="1"/>
  <c r="G26" i="14" s="1"/>
  <c r="H26" i="14"/>
  <c r="I26" i="14"/>
  <c r="F27" i="14" a="1"/>
  <c r="F27" i="14" s="1"/>
  <c r="G27" i="14" a="1"/>
  <c r="G27" i="14" s="1"/>
  <c r="H27" i="14"/>
  <c r="I27" i="14"/>
  <c r="F28" i="14" a="1"/>
  <c r="F28" i="14" s="1"/>
  <c r="G28" i="14" a="1"/>
  <c r="G28" i="14" s="1"/>
  <c r="H28" i="14"/>
  <c r="I28" i="14"/>
  <c r="F29" i="14" a="1"/>
  <c r="F29" i="14" s="1"/>
  <c r="G29" i="14" a="1"/>
  <c r="G29" i="14" s="1"/>
  <c r="H29" i="14"/>
  <c r="I29" i="14"/>
  <c r="F30" i="14" a="1"/>
  <c r="F30" i="14" s="1"/>
  <c r="G30" i="14" a="1"/>
  <c r="G30" i="14" s="1"/>
  <c r="H30" i="14"/>
  <c r="I30" i="14"/>
  <c r="F31" i="14" a="1"/>
  <c r="F31" i="14" s="1"/>
  <c r="G31" i="14" a="1"/>
  <c r="G31" i="14" s="1"/>
  <c r="H31" i="14"/>
  <c r="I31" i="14"/>
  <c r="F32" i="14" a="1"/>
  <c r="F32" i="14" s="1"/>
  <c r="G32" i="14" a="1"/>
  <c r="G32" i="14" s="1"/>
  <c r="H32" i="14"/>
  <c r="I32" i="14"/>
  <c r="F33" i="14" a="1"/>
  <c r="F33" i="14" s="1"/>
  <c r="G33" i="14" a="1"/>
  <c r="G33" i="14" s="1"/>
  <c r="H33" i="14"/>
  <c r="I33" i="14"/>
  <c r="F34" i="14" a="1"/>
  <c r="F34" i="14" s="1"/>
  <c r="G34" i="14" a="1"/>
  <c r="G34" i="14" s="1"/>
  <c r="H34" i="14"/>
  <c r="I34" i="14"/>
  <c r="F35" i="14" a="1"/>
  <c r="F35" i="14" s="1"/>
  <c r="G35" i="14" a="1"/>
  <c r="G35" i="14" s="1"/>
  <c r="H35" i="14"/>
  <c r="I35" i="14"/>
  <c r="F36" i="14" a="1"/>
  <c r="F36" i="14" s="1"/>
  <c r="G36" i="14" a="1"/>
  <c r="G36" i="14" s="1"/>
  <c r="H36" i="14"/>
  <c r="I36" i="14"/>
  <c r="F37" i="14" a="1"/>
  <c r="F37" i="14" s="1"/>
  <c r="G37" i="14" a="1"/>
  <c r="G37" i="14" s="1"/>
  <c r="H37" i="14"/>
  <c r="I37" i="14"/>
  <c r="F38" i="14" a="1"/>
  <c r="F38" i="14" s="1"/>
  <c r="G38" i="14" a="1"/>
  <c r="G38" i="14" s="1"/>
  <c r="H38" i="14"/>
  <c r="I38" i="14"/>
  <c r="F39" i="14" a="1"/>
  <c r="F39" i="14" s="1"/>
  <c r="G39" i="14" a="1"/>
  <c r="G39" i="14" s="1"/>
  <c r="H39" i="14"/>
  <c r="I39" i="14"/>
  <c r="F40" i="14" a="1"/>
  <c r="F40" i="14" s="1"/>
  <c r="G40" i="14" a="1"/>
  <c r="G40" i="14" s="1"/>
  <c r="H40" i="14"/>
  <c r="I40" i="14"/>
  <c r="F41" i="14" a="1"/>
  <c r="F41" i="14" s="1"/>
  <c r="G41" i="14" a="1"/>
  <c r="G41" i="14" s="1"/>
  <c r="H41" i="14"/>
  <c r="I41" i="14"/>
  <c r="F42" i="14" a="1"/>
  <c r="F42" i="14" s="1"/>
  <c r="G42" i="14" a="1"/>
  <c r="G42" i="14" s="1"/>
  <c r="H42" i="14"/>
  <c r="I42" i="14"/>
  <c r="F43" i="14" a="1"/>
  <c r="F43" i="14" s="1"/>
  <c r="G43" i="14" a="1"/>
  <c r="G43" i="14" s="1"/>
  <c r="H43" i="14"/>
  <c r="I43" i="14"/>
  <c r="F44" i="14" a="1"/>
  <c r="F44" i="14" s="1"/>
  <c r="G44" i="14" a="1"/>
  <c r="G44" i="14" s="1"/>
  <c r="H44" i="14"/>
  <c r="I44" i="14"/>
  <c r="F45" i="14" a="1"/>
  <c r="F45" i="14" s="1"/>
  <c r="G45" i="14" a="1"/>
  <c r="G45" i="14" s="1"/>
  <c r="H45" i="14"/>
  <c r="I45" i="14"/>
  <c r="F46" i="14" a="1"/>
  <c r="F46" i="14" s="1"/>
  <c r="G46" i="14" a="1"/>
  <c r="G46" i="14" s="1"/>
  <c r="H46" i="14"/>
  <c r="I46" i="14"/>
  <c r="F47" i="14" a="1"/>
  <c r="F47" i="14" s="1"/>
  <c r="G47" i="14" a="1"/>
  <c r="G47" i="14" s="1"/>
  <c r="H47" i="14"/>
  <c r="I47" i="14"/>
  <c r="F48" i="14" a="1"/>
  <c r="F48" i="14" s="1"/>
  <c r="G48" i="14" a="1"/>
  <c r="G48" i="14" s="1"/>
  <c r="H48" i="14"/>
  <c r="I48" i="14"/>
  <c r="F49" i="14" a="1"/>
  <c r="F49" i="14" s="1"/>
  <c r="H49" i="14"/>
  <c r="I49" i="14"/>
  <c r="F50" i="14" a="1"/>
  <c r="F50" i="14" s="1"/>
  <c r="G50" i="14" a="1"/>
  <c r="G50" i="14" s="1"/>
  <c r="H50" i="14"/>
  <c r="I50" i="14"/>
  <c r="F51" i="14" a="1"/>
  <c r="F51" i="14" s="1"/>
  <c r="G51" i="14" a="1"/>
  <c r="G51" i="14" s="1"/>
  <c r="H51" i="14"/>
  <c r="I51" i="14"/>
  <c r="F52" i="14" a="1"/>
  <c r="F52" i="14" s="1"/>
  <c r="G52" i="14" a="1"/>
  <c r="G52" i="14" s="1"/>
  <c r="H52" i="14"/>
  <c r="I52" i="14"/>
  <c r="F53" i="14" a="1"/>
  <c r="F53" i="14" s="1"/>
  <c r="G53" i="14" a="1"/>
  <c r="G53" i="14" s="1"/>
  <c r="H53" i="14"/>
  <c r="I53" i="14"/>
  <c r="F2" i="14" a="1"/>
  <c r="F2" i="14" s="1"/>
  <c r="G2" i="14" a="1"/>
  <c r="G2" i="14" s="1"/>
  <c r="C11" i="19"/>
  <c r="I2" i="14"/>
  <c r="H2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K59" i="13"/>
  <c r="K6" i="13"/>
  <c r="K4" i="13"/>
  <c r="K53" i="13"/>
  <c r="K54" i="13"/>
  <c r="K57" i="13"/>
  <c r="K78" i="13"/>
  <c r="K79" i="13"/>
  <c r="K74" i="13"/>
  <c r="K45" i="13"/>
  <c r="K46" i="13"/>
  <c r="K30" i="13"/>
  <c r="K31" i="13"/>
  <c r="K32" i="13"/>
  <c r="K90" i="13"/>
  <c r="K91" i="13"/>
  <c r="K92" i="13"/>
  <c r="K82" i="13"/>
  <c r="K83" i="13"/>
  <c r="K34" i="13"/>
  <c r="K35" i="13"/>
  <c r="K44" i="13"/>
  <c r="K75" i="13"/>
  <c r="K76" i="13"/>
  <c r="K5" i="13"/>
  <c r="K33" i="13"/>
  <c r="K85" i="13"/>
  <c r="K86" i="13"/>
  <c r="K87" i="13"/>
  <c r="K88" i="13"/>
  <c r="K89" i="13"/>
  <c r="K47" i="13"/>
  <c r="K60" i="13"/>
  <c r="K61" i="13"/>
  <c r="K84" i="13"/>
  <c r="K55" i="13"/>
  <c r="K56" i="13"/>
  <c r="K7" i="13"/>
  <c r="K14" i="13"/>
  <c r="K15" i="13"/>
  <c r="K62" i="13"/>
  <c r="K48" i="13"/>
  <c r="K80" i="13"/>
  <c r="K19" i="13"/>
  <c r="K20" i="13"/>
  <c r="K39" i="13"/>
  <c r="K40" i="13"/>
  <c r="K63" i="13"/>
  <c r="K64" i="13"/>
  <c r="K93" i="13"/>
  <c r="K94" i="13"/>
  <c r="K65" i="13"/>
  <c r="K66" i="13"/>
  <c r="K67" i="13"/>
  <c r="K68" i="13"/>
  <c r="K2" i="13"/>
  <c r="K3" i="13"/>
  <c r="K24" i="13"/>
  <c r="K25" i="13"/>
  <c r="K69" i="13"/>
  <c r="K70" i="13"/>
  <c r="K26" i="13"/>
  <c r="K27" i="13"/>
  <c r="K41" i="13"/>
  <c r="K42" i="13"/>
  <c r="K21" i="13"/>
  <c r="K8" i="13"/>
  <c r="K9" i="13"/>
  <c r="K36" i="13"/>
  <c r="K37" i="13"/>
  <c r="K38" i="13"/>
  <c r="K71" i="13"/>
  <c r="K95" i="13"/>
  <c r="K96" i="13"/>
  <c r="K52" i="13"/>
  <c r="K72" i="13"/>
  <c r="K97" i="13"/>
  <c r="K98" i="13"/>
  <c r="K16" i="13"/>
  <c r="K28" i="13"/>
  <c r="K29" i="13"/>
  <c r="K49" i="13"/>
  <c r="K50" i="13"/>
  <c r="K51" i="13"/>
  <c r="K10" i="13"/>
  <c r="K11" i="13"/>
  <c r="K12" i="13"/>
  <c r="K13" i="13"/>
  <c r="K81" i="13"/>
  <c r="K17" i="13"/>
  <c r="K18" i="13"/>
  <c r="K22" i="13"/>
  <c r="K23" i="13"/>
  <c r="K73" i="13"/>
  <c r="K99" i="13"/>
  <c r="K100" i="13"/>
  <c r="K58" i="13"/>
  <c r="G76" i="18" l="1"/>
  <c r="G75" i="18"/>
  <c r="G74" i="18"/>
  <c r="G73" i="18"/>
  <c r="G72" i="18"/>
  <c r="G91" i="18"/>
  <c r="G90" i="18"/>
  <c r="G89" i="18"/>
  <c r="G88" i="18"/>
  <c r="G87" i="18"/>
  <c r="G86" i="18"/>
  <c r="G85" i="18"/>
  <c r="G84" i="18"/>
  <c r="G122" i="18"/>
  <c r="G121" i="18"/>
  <c r="G120" i="18"/>
  <c r="G119" i="18"/>
  <c r="G118" i="18"/>
  <c r="G117" i="18"/>
  <c r="G116" i="18"/>
  <c r="G115" i="18"/>
  <c r="G114" i="18"/>
  <c r="G113" i="18"/>
  <c r="G112" i="18"/>
  <c r="G111" i="18"/>
  <c r="G110" i="18"/>
  <c r="G109" i="18"/>
  <c r="G108" i="18"/>
  <c r="G107" i="18"/>
  <c r="G106" i="18"/>
  <c r="G105" i="18"/>
  <c r="G104" i="18"/>
  <c r="G103" i="18"/>
  <c r="G102" i="18"/>
  <c r="G101" i="18"/>
  <c r="G100" i="18"/>
  <c r="G99" i="18"/>
  <c r="G98" i="18"/>
  <c r="G97" i="18"/>
  <c r="G96" i="18"/>
  <c r="G95" i="18"/>
  <c r="G94" i="18"/>
  <c r="G93" i="18"/>
  <c r="G92" i="18"/>
  <c r="G83" i="18"/>
  <c r="G82" i="18"/>
  <c r="G81" i="18"/>
  <c r="G80" i="18"/>
  <c r="G79" i="18"/>
  <c r="G78" i="18"/>
  <c r="G77" i="18"/>
  <c r="G71" i="18"/>
  <c r="G70" i="18"/>
  <c r="G69" i="18"/>
  <c r="G68" i="18"/>
  <c r="G67" i="18"/>
  <c r="G66" i="18"/>
  <c r="G65" i="18"/>
  <c r="G64" i="18"/>
  <c r="G63" i="18"/>
  <c r="G62" i="18"/>
  <c r="G61" i="18"/>
  <c r="G60" i="18"/>
  <c r="G59" i="18"/>
  <c r="G58" i="18"/>
  <c r="G57" i="18"/>
  <c r="G56" i="18"/>
  <c r="G55" i="18"/>
  <c r="G54" i="18"/>
  <c r="G53" i="18"/>
  <c r="G52" i="18"/>
  <c r="G51" i="18"/>
  <c r="G50" i="18"/>
  <c r="G49" i="18"/>
  <c r="G48" i="18"/>
  <c r="G47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G34" i="18"/>
  <c r="G33" i="18"/>
  <c r="G32" i="18"/>
  <c r="G31" i="18"/>
  <c r="G30" i="18"/>
  <c r="G29" i="18"/>
  <c r="G28" i="18"/>
  <c r="G27" i="18"/>
  <c r="G26" i="18"/>
  <c r="G25" i="18"/>
  <c r="G24" i="18"/>
  <c r="G23" i="18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G7" i="18"/>
  <c r="G6" i="18"/>
  <c r="G5" i="18"/>
  <c r="G4" i="18"/>
  <c r="G3" i="18"/>
  <c r="G2" i="18"/>
  <c r="G58" i="13"/>
  <c r="L58" i="13" s="1"/>
  <c r="E2" i="14" s="1" a="1"/>
  <c r="E2" i="14" s="1"/>
  <c r="G59" i="13"/>
  <c r="L59" i="13" s="1"/>
  <c r="G6" i="13"/>
  <c r="L6" i="13" s="1"/>
  <c r="E3" i="14" s="1" a="1"/>
  <c r="E3" i="14" s="1"/>
  <c r="G4" i="13"/>
  <c r="L4" i="13" s="1"/>
  <c r="E4" i="14" s="1" a="1"/>
  <c r="E4" i="14" s="1"/>
  <c r="G53" i="13"/>
  <c r="L53" i="13" s="1"/>
  <c r="D5" i="14" s="1" a="1"/>
  <c r="D5" i="14" s="1"/>
  <c r="G54" i="13"/>
  <c r="L54" i="13" s="1"/>
  <c r="G57" i="13"/>
  <c r="L57" i="13" s="1"/>
  <c r="D6" i="14" s="1" a="1"/>
  <c r="D6" i="14" s="1"/>
  <c r="G78" i="13"/>
  <c r="L78" i="13" s="1"/>
  <c r="D7" i="14" s="1" a="1"/>
  <c r="D7" i="14" s="1"/>
  <c r="G79" i="13"/>
  <c r="L79" i="13" s="1"/>
  <c r="E7" i="14" s="1" a="1"/>
  <c r="E7" i="14" s="1"/>
  <c r="G74" i="13"/>
  <c r="L74" i="13" s="1"/>
  <c r="E8" i="14" s="1" a="1"/>
  <c r="E8" i="14" s="1"/>
  <c r="G45" i="13"/>
  <c r="L45" i="13" s="1"/>
  <c r="G46" i="13"/>
  <c r="L46" i="13" s="1"/>
  <c r="G30" i="13"/>
  <c r="L30" i="13" s="1"/>
  <c r="D9" i="14" s="1" a="1"/>
  <c r="D9" i="14" s="1"/>
  <c r="G31" i="13"/>
  <c r="L31" i="13" s="1"/>
  <c r="E9" i="14" s="1" a="1"/>
  <c r="E9" i="14" s="1"/>
  <c r="G32" i="13"/>
  <c r="L32" i="13" s="1"/>
  <c r="G90" i="13"/>
  <c r="L90" i="13" s="1"/>
  <c r="D10" i="14" s="1" a="1"/>
  <c r="D10" i="14" s="1"/>
  <c r="G91" i="13"/>
  <c r="L91" i="13" s="1"/>
  <c r="E10" i="14" s="1" a="1"/>
  <c r="E10" i="14" s="1"/>
  <c r="G92" i="13"/>
  <c r="L92" i="13" s="1"/>
  <c r="G82" i="13"/>
  <c r="L82" i="13" s="1"/>
  <c r="D11" i="14" s="1" a="1"/>
  <c r="D11" i="14" s="1"/>
  <c r="G83" i="13"/>
  <c r="L83" i="13" s="1"/>
  <c r="E11" i="14" s="1" a="1"/>
  <c r="E11" i="14" s="1"/>
  <c r="G34" i="13"/>
  <c r="L34" i="13" s="1"/>
  <c r="E12" i="14" s="1" a="1"/>
  <c r="E12" i="14" s="1"/>
  <c r="G35" i="13"/>
  <c r="L35" i="13" s="1"/>
  <c r="G44" i="13"/>
  <c r="L44" i="13" s="1"/>
  <c r="D13" i="14" s="1" a="1"/>
  <c r="D13" i="14" s="1"/>
  <c r="G75" i="13"/>
  <c r="L75" i="13" s="1"/>
  <c r="G76" i="13"/>
  <c r="L76" i="13" s="1"/>
  <c r="G5" i="13"/>
  <c r="L5" i="13" s="1"/>
  <c r="E14" i="14" s="1" a="1"/>
  <c r="E14" i="14" s="1"/>
  <c r="G33" i="13"/>
  <c r="L33" i="13" s="1"/>
  <c r="E15" i="14" s="1" a="1"/>
  <c r="E15" i="14" s="1"/>
  <c r="G85" i="13"/>
  <c r="L85" i="13" s="1"/>
  <c r="D16" i="14" s="1" a="1"/>
  <c r="D16" i="14" s="1"/>
  <c r="G86" i="13"/>
  <c r="L86" i="13" s="1"/>
  <c r="E16" i="14" s="1" a="1"/>
  <c r="E16" i="14" s="1"/>
  <c r="G87" i="13"/>
  <c r="L87" i="13" s="1"/>
  <c r="G88" i="13"/>
  <c r="L88" i="13" s="1"/>
  <c r="G89" i="13"/>
  <c r="L89" i="13" s="1"/>
  <c r="G47" i="13"/>
  <c r="L47" i="13" s="1"/>
  <c r="E17" i="14" s="1" a="1"/>
  <c r="E17" i="14" s="1"/>
  <c r="G60" i="13"/>
  <c r="L60" i="13" s="1"/>
  <c r="E18" i="14" s="1" a="1"/>
  <c r="E18" i="14" s="1"/>
  <c r="G61" i="13"/>
  <c r="L61" i="13" s="1"/>
  <c r="G84" i="13"/>
  <c r="L84" i="13" s="1"/>
  <c r="E19" i="14" s="1" a="1"/>
  <c r="E19" i="14" s="1"/>
  <c r="G55" i="13"/>
  <c r="L55" i="13" s="1"/>
  <c r="D20" i="14" s="1" a="1"/>
  <c r="D20" i="14" s="1"/>
  <c r="G56" i="13"/>
  <c r="L56" i="13" s="1"/>
  <c r="E20" i="14" s="1" a="1"/>
  <c r="E20" i="14" s="1"/>
  <c r="G7" i="13"/>
  <c r="L7" i="13" s="1"/>
  <c r="D21" i="14" s="1" a="1"/>
  <c r="D21" i="14" s="1"/>
  <c r="G14" i="13"/>
  <c r="L14" i="13" s="1"/>
  <c r="D22" i="14" s="1" a="1"/>
  <c r="D22" i="14" s="1"/>
  <c r="G15" i="13"/>
  <c r="L15" i="13" s="1"/>
  <c r="E22" i="14" s="1" a="1"/>
  <c r="E22" i="14" s="1"/>
  <c r="G62" i="13"/>
  <c r="L62" i="13" s="1"/>
  <c r="D23" i="14" s="1" a="1"/>
  <c r="D23" i="14" s="1"/>
  <c r="G48" i="13"/>
  <c r="L48" i="13" s="1"/>
  <c r="E24" i="14" s="1" a="1"/>
  <c r="E24" i="14" s="1"/>
  <c r="G80" i="13"/>
  <c r="L80" i="13" s="1"/>
  <c r="D25" i="14" s="1" a="1"/>
  <c r="D25" i="14" s="1"/>
  <c r="G19" i="13"/>
  <c r="L19" i="13" s="1"/>
  <c r="D26" i="14" s="1" a="1"/>
  <c r="D26" i="14" s="1"/>
  <c r="G20" i="13"/>
  <c r="L20" i="13" s="1"/>
  <c r="F26" i="14" s="1" a="1"/>
  <c r="F26" i="14" s="1"/>
  <c r="G39" i="13"/>
  <c r="L39" i="13" s="1"/>
  <c r="D27" i="14" s="1" a="1"/>
  <c r="D27" i="14" s="1"/>
  <c r="G40" i="13"/>
  <c r="L40" i="13" s="1"/>
  <c r="E27" i="14" s="1" a="1"/>
  <c r="E27" i="14" s="1"/>
  <c r="G63" i="13"/>
  <c r="L63" i="13" s="1"/>
  <c r="D28" i="14" s="1" a="1"/>
  <c r="D28" i="14" s="1"/>
  <c r="G64" i="13"/>
  <c r="L64" i="13" s="1"/>
  <c r="E28" i="14" s="1" a="1"/>
  <c r="E28" i="14" s="1"/>
  <c r="G93" i="13"/>
  <c r="L93" i="13" s="1"/>
  <c r="D29" i="14" s="1" a="1"/>
  <c r="D29" i="14" s="1"/>
  <c r="G94" i="13"/>
  <c r="L94" i="13" s="1"/>
  <c r="E29" i="14" s="1" a="1"/>
  <c r="E29" i="14" s="1"/>
  <c r="G65" i="13"/>
  <c r="L65" i="13" s="1"/>
  <c r="D30" i="14" s="1" a="1"/>
  <c r="D30" i="14" s="1"/>
  <c r="G66" i="13"/>
  <c r="L66" i="13" s="1"/>
  <c r="E30" i="14" s="1" a="1"/>
  <c r="E30" i="14" s="1"/>
  <c r="G67" i="13"/>
  <c r="L67" i="13" s="1"/>
  <c r="G68" i="13"/>
  <c r="L68" i="13" s="1"/>
  <c r="G2" i="13"/>
  <c r="L2" i="13" s="1"/>
  <c r="E31" i="14" s="1" a="1"/>
  <c r="E31" i="14" s="1"/>
  <c r="G3" i="13"/>
  <c r="L3" i="13" s="1"/>
  <c r="D31" i="14" s="1" a="1"/>
  <c r="D31" i="14" s="1"/>
  <c r="G24" i="13"/>
  <c r="L24" i="13" s="1"/>
  <c r="D32" i="14" s="1" a="1"/>
  <c r="D32" i="14" s="1"/>
  <c r="G25" i="13"/>
  <c r="L25" i="13" s="1"/>
  <c r="E32" i="14" s="1" a="1"/>
  <c r="E32" i="14" s="1"/>
  <c r="G69" i="13"/>
  <c r="L69" i="13" s="1"/>
  <c r="D33" i="14" s="1" a="1"/>
  <c r="D33" i="14" s="1"/>
  <c r="G70" i="13"/>
  <c r="L70" i="13" s="1"/>
  <c r="E33" i="14" s="1" a="1"/>
  <c r="E33" i="14" s="1"/>
  <c r="G26" i="13"/>
  <c r="L26" i="13" s="1"/>
  <c r="D36" i="14" s="1" a="1"/>
  <c r="D36" i="14" s="1"/>
  <c r="G27" i="13"/>
  <c r="L27" i="13" s="1"/>
  <c r="G41" i="13"/>
  <c r="L41" i="13" s="1"/>
  <c r="G42" i="13"/>
  <c r="L42" i="13" s="1"/>
  <c r="G21" i="13"/>
  <c r="L21" i="13" s="1"/>
  <c r="D37" i="14" s="1" a="1"/>
  <c r="D37" i="14" s="1"/>
  <c r="G8" i="13"/>
  <c r="L8" i="13" s="1"/>
  <c r="D38" i="14" s="1" a="1"/>
  <c r="D38" i="14" s="1"/>
  <c r="G9" i="13"/>
  <c r="L9" i="13" s="1"/>
  <c r="E38" i="14" s="1" a="1"/>
  <c r="E38" i="14" s="1"/>
  <c r="G36" i="13"/>
  <c r="L36" i="13" s="1"/>
  <c r="D42" i="14" s="1" a="1"/>
  <c r="D42" i="14" s="1"/>
  <c r="G37" i="13"/>
  <c r="L37" i="13" s="1"/>
  <c r="E42" i="14" s="1" a="1"/>
  <c r="E42" i="14" s="1"/>
  <c r="G38" i="13"/>
  <c r="L38" i="13" s="1"/>
  <c r="G71" i="13"/>
  <c r="L71" i="13" s="1"/>
  <c r="D43" i="14" s="1" a="1"/>
  <c r="D43" i="14" s="1"/>
  <c r="G95" i="13"/>
  <c r="L95" i="13" s="1"/>
  <c r="D44" i="14" s="1" a="1"/>
  <c r="D44" i="14" s="1"/>
  <c r="G96" i="13"/>
  <c r="L96" i="13" s="1"/>
  <c r="E44" i="14" s="1" a="1"/>
  <c r="E44" i="14" s="1"/>
  <c r="G52" i="13"/>
  <c r="L52" i="13" s="1"/>
  <c r="E45" i="14" s="1" a="1"/>
  <c r="E45" i="14" s="1"/>
  <c r="G72" i="13"/>
  <c r="L72" i="13" s="1"/>
  <c r="D46" i="14" s="1" a="1"/>
  <c r="D46" i="14" s="1"/>
  <c r="G97" i="13"/>
  <c r="L97" i="13" s="1"/>
  <c r="D47" i="14" s="1" a="1"/>
  <c r="D47" i="14" s="1"/>
  <c r="G98" i="13"/>
  <c r="L98" i="13" s="1"/>
  <c r="E47" i="14" s="1" a="1"/>
  <c r="E47" i="14" s="1"/>
  <c r="G16" i="13"/>
  <c r="L16" i="13" s="1"/>
  <c r="E48" i="14" s="1" a="1"/>
  <c r="E48" i="14" s="1"/>
  <c r="G28" i="13"/>
  <c r="L28" i="13" s="1"/>
  <c r="G49" i="14" s="1" a="1"/>
  <c r="G49" i="14" s="1"/>
  <c r="G29" i="13"/>
  <c r="L29" i="13" s="1"/>
  <c r="D50" i="14" s="1" a="1"/>
  <c r="D50" i="14" s="1"/>
  <c r="G49" i="13"/>
  <c r="L49" i="13" s="1"/>
  <c r="E51" i="14" s="1" a="1"/>
  <c r="E51" i="14" s="1"/>
  <c r="G50" i="13"/>
  <c r="L50" i="13" s="1"/>
  <c r="G51" i="13"/>
  <c r="L51" i="13" s="1"/>
  <c r="G10" i="13"/>
  <c r="L10" i="13" s="1"/>
  <c r="D52" i="14" s="1" a="1"/>
  <c r="D52" i="14" s="1"/>
  <c r="G11" i="13"/>
  <c r="L11" i="13" s="1"/>
  <c r="E52" i="14" s="1" a="1"/>
  <c r="E52" i="14" s="1"/>
  <c r="G12" i="13"/>
  <c r="L12" i="13" s="1"/>
  <c r="G13" i="13"/>
  <c r="L13" i="13" s="1"/>
  <c r="G81" i="13"/>
  <c r="L81" i="13" s="1"/>
  <c r="D53" i="14" s="1" a="1"/>
  <c r="D53" i="14" s="1"/>
  <c r="G17" i="13"/>
  <c r="L17" i="13" s="1"/>
  <c r="D39" i="14" s="1" a="1"/>
  <c r="D39" i="14" s="1"/>
  <c r="G18" i="13"/>
  <c r="L18" i="13" s="1"/>
  <c r="E39" i="14" s="1" a="1"/>
  <c r="E39" i="14" s="1"/>
  <c r="G22" i="13"/>
  <c r="L22" i="13" s="1"/>
  <c r="D40" i="14" s="1" a="1"/>
  <c r="D40" i="14" s="1"/>
  <c r="G23" i="13"/>
  <c r="L23" i="13" s="1"/>
  <c r="E40" i="14" s="1" a="1"/>
  <c r="E40" i="14" s="1"/>
  <c r="G73" i="13"/>
  <c r="L73" i="13" s="1"/>
  <c r="D41" i="14" s="1" a="1"/>
  <c r="D41" i="14" s="1"/>
  <c r="G99" i="13"/>
  <c r="L99" i="13" s="1"/>
  <c r="E34" i="14" s="1" a="1"/>
  <c r="E34" i="14" s="1"/>
  <c r="G100" i="13"/>
  <c r="L100" i="13" s="1"/>
  <c r="D35" i="14" s="1" a="1"/>
  <c r="D35" i="14" s="1"/>
  <c r="C2" i="14"/>
  <c r="C3" i="15" a="1"/>
  <c r="C3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unb_h</author>
  </authors>
  <commentList>
    <comment ref="F48" authorId="0" shapeId="0" xr:uid="{11374B9F-210D-4452-B6F9-0411F3B6877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Titanite?</t>
        </r>
      </text>
    </comment>
    <comment ref="H69" authorId="1" shapeId="0" xr:uid="{C02F479A-E017-4F82-86B5-3E3956F0D922}">
      <text>
        <r>
          <rPr>
            <b/>
            <sz val="9"/>
            <color indexed="81"/>
            <rFont val="Tahoma"/>
            <family val="2"/>
          </rPr>
          <t>unb_h:</t>
        </r>
        <r>
          <rPr>
            <sz val="9"/>
            <color indexed="81"/>
            <rFont val="Tahoma"/>
            <family val="2"/>
          </rPr>
          <t xml:space="preserve">
1813 Ma?</t>
        </r>
      </text>
    </comment>
    <comment ref="F83" authorId="1" shapeId="0" xr:uid="{453FC576-61C5-4ECF-9D04-9F7EA4E4D938}">
      <text>
        <r>
          <rPr>
            <b/>
            <sz val="9"/>
            <color indexed="81"/>
            <rFont val="Tahoma"/>
            <family val="2"/>
          </rPr>
          <t>unb_h:</t>
        </r>
        <r>
          <rPr>
            <sz val="9"/>
            <color indexed="81"/>
            <rFont val="Tahoma"/>
            <family val="2"/>
          </rPr>
          <t xml:space="preserve">
Sphene?</t>
        </r>
      </text>
    </comment>
    <comment ref="B85" authorId="1" shapeId="0" xr:uid="{75CB8B97-6C3F-4DC0-A729-701B5481D148}">
      <text>
        <r>
          <rPr>
            <b/>
            <sz val="9"/>
            <color indexed="81"/>
            <rFont val="Tahoma"/>
            <family val="2"/>
          </rPr>
          <t>unb_h:</t>
        </r>
        <r>
          <rPr>
            <sz val="9"/>
            <color indexed="81"/>
            <rFont val="Tahoma"/>
            <family val="2"/>
          </rPr>
          <t xml:space="preserve">
A91-007b1</t>
        </r>
      </text>
    </comment>
    <comment ref="B86" authorId="1" shapeId="0" xr:uid="{473B35E5-23F2-4ABB-871C-47112118AFC8}">
      <text>
        <r>
          <rPr>
            <b/>
            <sz val="9"/>
            <color indexed="81"/>
            <rFont val="Tahoma"/>
            <family val="2"/>
          </rPr>
          <t>unb_h:</t>
        </r>
        <r>
          <rPr>
            <sz val="9"/>
            <color indexed="81"/>
            <rFont val="Tahoma"/>
            <family val="2"/>
          </rPr>
          <t xml:space="preserve">
A91-007b1</t>
        </r>
      </text>
    </comment>
    <comment ref="B87" authorId="1" shapeId="0" xr:uid="{F2986E07-18A7-45F7-A1E3-0F4E9F574B4C}">
      <text>
        <r>
          <rPr>
            <b/>
            <sz val="9"/>
            <color indexed="81"/>
            <rFont val="Tahoma"/>
            <family val="2"/>
          </rPr>
          <t>unb_h:</t>
        </r>
        <r>
          <rPr>
            <sz val="9"/>
            <color indexed="81"/>
            <rFont val="Tahoma"/>
            <family val="2"/>
          </rPr>
          <t xml:space="preserve">
A91-007b1</t>
        </r>
      </text>
    </comment>
    <comment ref="B88" authorId="1" shapeId="0" xr:uid="{9F3B3EDC-E8E3-4341-8B1C-5768059FE79D}">
      <text>
        <r>
          <rPr>
            <b/>
            <sz val="9"/>
            <color indexed="81"/>
            <rFont val="Tahoma"/>
            <family val="2"/>
          </rPr>
          <t>unb_h:</t>
        </r>
        <r>
          <rPr>
            <sz val="9"/>
            <color indexed="81"/>
            <rFont val="Tahoma"/>
            <family val="2"/>
          </rPr>
          <t xml:space="preserve">
A91-007b1</t>
        </r>
      </text>
    </comment>
    <comment ref="B89" authorId="1" shapeId="0" xr:uid="{18B3759B-4096-41CB-AF76-240CB95F76BB}">
      <text>
        <r>
          <rPr>
            <b/>
            <sz val="9"/>
            <color indexed="81"/>
            <rFont val="Tahoma"/>
            <family val="2"/>
          </rPr>
          <t>unb_h:</t>
        </r>
        <r>
          <rPr>
            <sz val="9"/>
            <color indexed="81"/>
            <rFont val="Tahoma"/>
            <family val="2"/>
          </rPr>
          <t xml:space="preserve">
A91-007b1</t>
        </r>
      </text>
    </comment>
    <comment ref="F91" authorId="1" shapeId="0" xr:uid="{1CA80D60-3149-479F-BFB3-EABF8D196A11}">
      <text>
        <r>
          <rPr>
            <b/>
            <sz val="9"/>
            <color indexed="81"/>
            <rFont val="Tahoma"/>
            <family val="2"/>
          </rPr>
          <t>unb_h:</t>
        </r>
        <r>
          <rPr>
            <sz val="9"/>
            <color indexed="81"/>
            <rFont val="Tahoma"/>
            <family val="2"/>
          </rPr>
          <t xml:space="preserve">
Sphene?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unb_h</author>
    <author>Author</author>
  </authors>
  <commentList>
    <comment ref="F3" authorId="0" shapeId="0" xr:uid="{80C77A96-6B84-4A8C-AE27-8F11F8344A65}">
      <text>
        <r>
          <rPr>
            <b/>
            <sz val="9"/>
            <color indexed="81"/>
            <rFont val="Tahoma"/>
            <family val="2"/>
          </rPr>
          <t>unb_h:</t>
        </r>
        <r>
          <rPr>
            <sz val="9"/>
            <color indexed="81"/>
            <rFont val="Tahoma"/>
            <family val="2"/>
          </rPr>
          <t xml:space="preserve">
Sphene?</t>
        </r>
      </text>
    </comment>
    <comment ref="F5" authorId="0" shapeId="0" xr:uid="{817560F5-7536-41E2-8B92-F3F64B1AD9AD}">
      <text>
        <r>
          <rPr>
            <b/>
            <sz val="9"/>
            <color indexed="81"/>
            <rFont val="Tahoma"/>
            <family val="2"/>
          </rPr>
          <t>unb_h:</t>
        </r>
        <r>
          <rPr>
            <sz val="9"/>
            <color indexed="81"/>
            <rFont val="Tahoma"/>
            <family val="2"/>
          </rPr>
          <t xml:space="preserve">
Sphene?</t>
        </r>
      </text>
    </comment>
    <comment ref="F18" authorId="1" shapeId="0" xr:uid="{592FEDEB-C4EF-47D3-A8D4-FC6B5914EFB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Titanite?</t>
        </r>
      </text>
    </comment>
    <comment ref="G19" authorId="0" shapeId="0" xr:uid="{47FA2F67-FFA9-4B92-9095-2B0561793ACB}">
      <text>
        <r>
          <rPr>
            <b/>
            <sz val="9"/>
            <color indexed="81"/>
            <rFont val="Tahoma"/>
            <family val="2"/>
          </rPr>
          <t>unb_h:</t>
        </r>
        <r>
          <rPr>
            <sz val="9"/>
            <color indexed="81"/>
            <rFont val="Tahoma"/>
            <family val="2"/>
          </rPr>
          <t xml:space="preserve">
1813 Ma?</t>
        </r>
      </text>
    </comment>
    <comment ref="B58" authorId="0" shapeId="0" xr:uid="{B5DB5B72-A2DE-47BF-937E-7E581E5ADFA1}">
      <text>
        <r>
          <rPr>
            <b/>
            <sz val="9"/>
            <color indexed="81"/>
            <rFont val="Tahoma"/>
            <family val="2"/>
          </rPr>
          <t>unb_h:</t>
        </r>
        <r>
          <rPr>
            <sz val="9"/>
            <color indexed="81"/>
            <rFont val="Tahoma"/>
            <family val="2"/>
          </rPr>
          <t xml:space="preserve">
A91-007b1</t>
        </r>
      </text>
    </comment>
    <comment ref="B59" authorId="0" shapeId="0" xr:uid="{0DCE0030-6CD9-454C-9B5D-32C3BF2B25E2}">
      <text>
        <r>
          <rPr>
            <b/>
            <sz val="9"/>
            <color indexed="81"/>
            <rFont val="Tahoma"/>
            <family val="2"/>
          </rPr>
          <t>unb_h:</t>
        </r>
        <r>
          <rPr>
            <sz val="9"/>
            <color indexed="81"/>
            <rFont val="Tahoma"/>
            <family val="2"/>
          </rPr>
          <t xml:space="preserve">
A91-007b1</t>
        </r>
      </text>
    </comment>
    <comment ref="B60" authorId="0" shapeId="0" xr:uid="{42B6C318-59DF-4D26-BA44-0A29D91479EE}">
      <text>
        <r>
          <rPr>
            <b/>
            <sz val="9"/>
            <color indexed="81"/>
            <rFont val="Tahoma"/>
            <family val="2"/>
          </rPr>
          <t>unb_h:</t>
        </r>
        <r>
          <rPr>
            <sz val="9"/>
            <color indexed="81"/>
            <rFont val="Tahoma"/>
            <family val="2"/>
          </rPr>
          <t xml:space="preserve">
A91-007b1</t>
        </r>
      </text>
    </comment>
    <comment ref="B61" authorId="0" shapeId="0" xr:uid="{38E93B67-B596-4B08-BE05-C4A593619386}">
      <text>
        <r>
          <rPr>
            <b/>
            <sz val="9"/>
            <color indexed="81"/>
            <rFont val="Tahoma"/>
            <family val="2"/>
          </rPr>
          <t>unb_h:</t>
        </r>
        <r>
          <rPr>
            <sz val="9"/>
            <color indexed="81"/>
            <rFont val="Tahoma"/>
            <family val="2"/>
          </rPr>
          <t xml:space="preserve">
A91-007b1</t>
        </r>
      </text>
    </comment>
    <comment ref="B62" authorId="0" shapeId="0" xr:uid="{A07599D0-3847-4B8B-8C07-4CDB857F968D}">
      <text>
        <r>
          <rPr>
            <b/>
            <sz val="9"/>
            <color indexed="81"/>
            <rFont val="Tahoma"/>
            <family val="2"/>
          </rPr>
          <t>unb_h:</t>
        </r>
        <r>
          <rPr>
            <sz val="9"/>
            <color indexed="81"/>
            <rFont val="Tahoma"/>
            <family val="2"/>
          </rPr>
          <t xml:space="preserve">
A91-007b1</t>
        </r>
      </text>
    </comment>
    <comment ref="F106" authorId="0" shapeId="0" xr:uid="{31FEF6DB-0D8F-4FF5-AA6B-ABC4233DE302}">
      <text>
        <r>
          <rPr>
            <b/>
            <sz val="9"/>
            <color indexed="81"/>
            <rFont val="Tahoma"/>
            <family val="2"/>
          </rPr>
          <t>unb_h:</t>
        </r>
        <r>
          <rPr>
            <sz val="9"/>
            <color indexed="81"/>
            <rFont val="Tahoma"/>
            <family val="2"/>
          </rPr>
          <t xml:space="preserve">
Zircon?
</t>
        </r>
      </text>
    </comment>
    <comment ref="F107" authorId="0" shapeId="0" xr:uid="{8CB6779C-53BB-4F1F-928C-A9AC309B6C4B}">
      <text>
        <r>
          <rPr>
            <b/>
            <sz val="9"/>
            <color indexed="81"/>
            <rFont val="Tahoma"/>
            <family val="2"/>
          </rPr>
          <t>unb_h:</t>
        </r>
        <r>
          <rPr>
            <sz val="9"/>
            <color indexed="81"/>
            <rFont val="Tahoma"/>
            <family val="2"/>
          </rPr>
          <t xml:space="preserve">
Zircon?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unb_h</author>
    <author>Author</author>
  </authors>
  <commentList>
    <comment ref="F20" authorId="0" shapeId="0" xr:uid="{89E190EA-81E0-44FD-9558-B2EE0F865922}">
      <text>
        <r>
          <rPr>
            <b/>
            <sz val="9"/>
            <color indexed="81"/>
            <rFont val="Tahoma"/>
            <family val="2"/>
          </rPr>
          <t>unb_h:</t>
        </r>
        <r>
          <rPr>
            <sz val="9"/>
            <color indexed="81"/>
            <rFont val="Tahoma"/>
            <family val="2"/>
          </rPr>
          <t xml:space="preserve">
Sphene?</t>
        </r>
      </text>
    </comment>
    <comment ref="F23" authorId="0" shapeId="0" xr:uid="{C68B7E68-7157-4ABD-9ECD-D847B33528C3}">
      <text>
        <r>
          <rPr>
            <b/>
            <sz val="9"/>
            <color indexed="81"/>
            <rFont val="Tahoma"/>
            <family val="2"/>
          </rPr>
          <t>unb_h:</t>
        </r>
        <r>
          <rPr>
            <sz val="9"/>
            <color indexed="81"/>
            <rFont val="Tahoma"/>
            <family val="2"/>
          </rPr>
          <t xml:space="preserve">
Sphene?</t>
        </r>
      </text>
    </comment>
    <comment ref="B31" authorId="0" shapeId="0" xr:uid="{D59A7688-11BF-42E5-AEC5-13CFF8405FD4}">
      <text>
        <r>
          <rPr>
            <b/>
            <sz val="9"/>
            <color indexed="81"/>
            <rFont val="Tahoma"/>
            <family val="2"/>
          </rPr>
          <t>unb_h:</t>
        </r>
        <r>
          <rPr>
            <sz val="9"/>
            <color indexed="81"/>
            <rFont val="Tahoma"/>
            <family val="2"/>
          </rPr>
          <t xml:space="preserve">
A91-007b1</t>
        </r>
      </text>
    </comment>
    <comment ref="B32" authorId="0" shapeId="0" xr:uid="{95D6A224-FB52-4458-B140-DAD7F9981912}">
      <text>
        <r>
          <rPr>
            <b/>
            <sz val="9"/>
            <color indexed="81"/>
            <rFont val="Tahoma"/>
            <family val="2"/>
          </rPr>
          <t>unb_h:</t>
        </r>
        <r>
          <rPr>
            <sz val="9"/>
            <color indexed="81"/>
            <rFont val="Tahoma"/>
            <family val="2"/>
          </rPr>
          <t xml:space="preserve">
A91-007b1</t>
        </r>
      </text>
    </comment>
    <comment ref="B33" authorId="0" shapeId="0" xr:uid="{717DC732-EB4A-46D5-A288-01DFB1714B4D}">
      <text>
        <r>
          <rPr>
            <b/>
            <sz val="9"/>
            <color indexed="81"/>
            <rFont val="Tahoma"/>
            <family val="2"/>
          </rPr>
          <t>unb_h:</t>
        </r>
        <r>
          <rPr>
            <sz val="9"/>
            <color indexed="81"/>
            <rFont val="Tahoma"/>
            <family val="2"/>
          </rPr>
          <t xml:space="preserve">
A91-007b1</t>
        </r>
      </text>
    </comment>
    <comment ref="B34" authorId="0" shapeId="0" xr:uid="{C718DF02-E658-4C53-8559-6E85F28A77A4}">
      <text>
        <r>
          <rPr>
            <b/>
            <sz val="9"/>
            <color indexed="81"/>
            <rFont val="Tahoma"/>
            <family val="2"/>
          </rPr>
          <t>unb_h:</t>
        </r>
        <r>
          <rPr>
            <sz val="9"/>
            <color indexed="81"/>
            <rFont val="Tahoma"/>
            <family val="2"/>
          </rPr>
          <t xml:space="preserve">
A91-007b1</t>
        </r>
      </text>
    </comment>
    <comment ref="B35" authorId="0" shapeId="0" xr:uid="{89A665CA-1EB9-4196-82ED-BBFDA96D7135}">
      <text>
        <r>
          <rPr>
            <b/>
            <sz val="9"/>
            <color indexed="81"/>
            <rFont val="Tahoma"/>
            <family val="2"/>
          </rPr>
          <t>unb_h:</t>
        </r>
        <r>
          <rPr>
            <sz val="9"/>
            <color indexed="81"/>
            <rFont val="Tahoma"/>
            <family val="2"/>
          </rPr>
          <t xml:space="preserve">
A91-007b1</t>
        </r>
      </text>
    </comment>
    <comment ref="F49" authorId="1" shapeId="0" xr:uid="{6838296C-9B7F-4519-8ED3-98E07E6F60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Titanite?</t>
        </r>
      </text>
    </comment>
    <comment ref="H67" authorId="0" shapeId="0" xr:uid="{D81EE0DB-99B7-4679-9D95-2944C63101D2}">
      <text>
        <r>
          <rPr>
            <b/>
            <sz val="9"/>
            <color indexed="81"/>
            <rFont val="Tahoma"/>
            <family val="2"/>
          </rPr>
          <t>unb_h:</t>
        </r>
        <r>
          <rPr>
            <sz val="9"/>
            <color indexed="81"/>
            <rFont val="Tahoma"/>
            <family val="2"/>
          </rPr>
          <t xml:space="preserve">
1813 Ma?</t>
        </r>
      </text>
    </comment>
    <comment ref="F101" authorId="0" shapeId="0" xr:uid="{72E89B05-4BC4-4966-9801-784511CD3F77}">
      <text>
        <r>
          <rPr>
            <b/>
            <sz val="9"/>
            <color indexed="81"/>
            <rFont val="Tahoma"/>
            <family val="2"/>
          </rPr>
          <t>unb_h:</t>
        </r>
        <r>
          <rPr>
            <sz val="9"/>
            <color indexed="81"/>
            <rFont val="Tahoma"/>
            <family val="2"/>
          </rPr>
          <t xml:space="preserve">
Zircon?
</t>
        </r>
      </text>
    </comment>
    <comment ref="F102" authorId="0" shapeId="0" xr:uid="{0F839CB5-1440-476B-B475-2C9C8D9D3574}">
      <text>
        <r>
          <rPr>
            <b/>
            <sz val="9"/>
            <color indexed="81"/>
            <rFont val="Tahoma"/>
            <family val="2"/>
          </rPr>
          <t>unb_h:</t>
        </r>
        <r>
          <rPr>
            <sz val="9"/>
            <color indexed="81"/>
            <rFont val="Tahoma"/>
            <family val="2"/>
          </rPr>
          <t xml:space="preserve">
Zircon?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<sst xmlns="http://schemas.openxmlformats.org/spreadsheetml/2006/main" count="4718" uniqueCount="448">
  <si>
    <t>Sample</t>
  </si>
  <si>
    <t>A92-002b</t>
  </si>
  <si>
    <t>Granodioritic Gneiss</t>
  </si>
  <si>
    <t>U-Pb</t>
  </si>
  <si>
    <t>Titanite</t>
  </si>
  <si>
    <t>Metamorphic age</t>
  </si>
  <si>
    <t>A88-043</t>
  </si>
  <si>
    <t>Monzogabbro</t>
  </si>
  <si>
    <t>Zircon</t>
  </si>
  <si>
    <t>A91-014</t>
  </si>
  <si>
    <t>Pelitic gneiss</t>
  </si>
  <si>
    <t>A91-015</t>
  </si>
  <si>
    <t>Monazite</t>
  </si>
  <si>
    <t>Detrital age</t>
  </si>
  <si>
    <t>2546-2792</t>
  </si>
  <si>
    <t>NA</t>
  </si>
  <si>
    <t>Calc-silicate Gneiss</t>
  </si>
  <si>
    <t>A92-056a</t>
  </si>
  <si>
    <t>Retrogessed Tonalitic Gneiss</t>
  </si>
  <si>
    <t>*</t>
  </si>
  <si>
    <t>A88-042</t>
  </si>
  <si>
    <t>A92-007b1</t>
  </si>
  <si>
    <t>Silicified granitic Gneiss</t>
  </si>
  <si>
    <t>A92-011c</t>
  </si>
  <si>
    <t>Metasomatized Orthogneiss</t>
  </si>
  <si>
    <t>A88-052</t>
  </si>
  <si>
    <t>Mylonitic Tonalitic Gneiss</t>
  </si>
  <si>
    <t>A92-045</t>
  </si>
  <si>
    <t>Pegmatite</t>
  </si>
  <si>
    <t>A88-036</t>
  </si>
  <si>
    <t>Calc-silicate vein</t>
  </si>
  <si>
    <t>CLC2-92</t>
  </si>
  <si>
    <t>Lower intercept recrystallization age</t>
  </si>
  <si>
    <t>EL-09</t>
  </si>
  <si>
    <t>CB94-043</t>
  </si>
  <si>
    <t>Grey Tonalitic Gneiss</t>
  </si>
  <si>
    <t>CB95-065</t>
  </si>
  <si>
    <t>ZM-08</t>
  </si>
  <si>
    <t>Foliated Granite</t>
  </si>
  <si>
    <t>ZK-22</t>
  </si>
  <si>
    <t>Migmatitic Pelitic Gneiss</t>
  </si>
  <si>
    <t>MT-18</t>
  </si>
  <si>
    <t>MAC-65</t>
  </si>
  <si>
    <t>Granitic Gneiss</t>
  </si>
  <si>
    <t>P-25</t>
  </si>
  <si>
    <t>Grey Orthogneiss</t>
  </si>
  <si>
    <t>P-40</t>
  </si>
  <si>
    <t>Crystallization age</t>
  </si>
  <si>
    <t>99-4.2-(9.1)</t>
  </si>
  <si>
    <t>Q6-74</t>
  </si>
  <si>
    <t>Migmatitic Tonalitic Gneiss</t>
  </si>
  <si>
    <t>Q6-72</t>
  </si>
  <si>
    <t>Grey Granite</t>
  </si>
  <si>
    <t>S-498</t>
  </si>
  <si>
    <t>S-566</t>
  </si>
  <si>
    <t>Tonalitic Gneiss</t>
  </si>
  <si>
    <t>PVS-9</t>
  </si>
  <si>
    <t>A94-040a</t>
  </si>
  <si>
    <t>Porphyritic Granite</t>
  </si>
  <si>
    <t>EPE-20A</t>
  </si>
  <si>
    <t>Foliated Grey Granite</t>
  </si>
  <si>
    <t>EPE-21</t>
  </si>
  <si>
    <t>A93-036</t>
  </si>
  <si>
    <t>A93-037a</t>
  </si>
  <si>
    <t>A93-037b</t>
  </si>
  <si>
    <t>Q9-25</t>
  </si>
  <si>
    <t>ST-1</t>
  </si>
  <si>
    <t>Foliated leucotonalite (Trondhjemite)</t>
  </si>
  <si>
    <t>&gt;2600</t>
  </si>
  <si>
    <t>A89-116</t>
  </si>
  <si>
    <t>A89-114</t>
  </si>
  <si>
    <t>Meta-quartzite</t>
  </si>
  <si>
    <t>2686-2863</t>
  </si>
  <si>
    <t>A89-100</t>
  </si>
  <si>
    <t>A89-108</t>
  </si>
  <si>
    <t>Pelitic Gneiss</t>
  </si>
  <si>
    <t>A90-011b</t>
  </si>
  <si>
    <t>Grey Granite (sheared)</t>
  </si>
  <si>
    <t>A90-012a</t>
  </si>
  <si>
    <t>Meta-gabbro</t>
  </si>
  <si>
    <t>A94-025a</t>
  </si>
  <si>
    <t>Metasomatized Pegmatite</t>
  </si>
  <si>
    <t>A94-051</t>
  </si>
  <si>
    <t>A90-006</t>
  </si>
  <si>
    <t>Quartz Dioritic Gneiss</t>
  </si>
  <si>
    <t>A90-005b</t>
  </si>
  <si>
    <t>A93-026a</t>
  </si>
  <si>
    <t>A93-055</t>
  </si>
  <si>
    <t>Mylonitic Orthogneiss</t>
  </si>
  <si>
    <t>&gt;2518</t>
  </si>
  <si>
    <t>99-4.2-(9.2)</t>
  </si>
  <si>
    <t>Interpretation</t>
  </si>
  <si>
    <t>Rock</t>
  </si>
  <si>
    <t>System</t>
  </si>
  <si>
    <t>Mineral</t>
  </si>
  <si>
    <t>Age</t>
  </si>
  <si>
    <t>Analytical/Internal uncertainty (X)</t>
  </si>
  <si>
    <t>Hidden Bay</t>
  </si>
  <si>
    <t>Karpinka Lake</t>
  </si>
  <si>
    <t>Greenway Island</t>
  </si>
  <si>
    <t>Sandy Islands</t>
  </si>
  <si>
    <t>North Island</t>
  </si>
  <si>
    <t>Harrison Peninsula</t>
  </si>
  <si>
    <t>East of Black Island</t>
  </si>
  <si>
    <t>Drill core</t>
  </si>
  <si>
    <t>Dawn Lake</t>
  </si>
  <si>
    <t>Eagle Point</t>
  </si>
  <si>
    <t>Sue 2 - McClean Lake</t>
  </si>
  <si>
    <t>Jeb</t>
  </si>
  <si>
    <t>SW McClean Lake</t>
  </si>
  <si>
    <t>Close Lake</t>
  </si>
  <si>
    <t>NE - Close Lake</t>
  </si>
  <si>
    <t>Yalowega Lake</t>
  </si>
  <si>
    <t>Epp Lake</t>
  </si>
  <si>
    <t>P-Patch</t>
  </si>
  <si>
    <t>Wheeler River</t>
  </si>
  <si>
    <t>Unpublished</t>
  </si>
  <si>
    <t>Metamorphic age/Reset intrusive age</t>
  </si>
  <si>
    <t>Annesley et al. 1992</t>
  </si>
  <si>
    <t>Annesley et al. 1993</t>
  </si>
  <si>
    <t>Annesley et al. 1991</t>
  </si>
  <si>
    <t>Ashley Peninsula</t>
  </si>
  <si>
    <t>Annesley et al. 1997</t>
  </si>
  <si>
    <t>Xenotime</t>
  </si>
  <si>
    <t>Annesley et al. 1999</t>
  </si>
  <si>
    <t>Annesley et al. 1999b</t>
  </si>
  <si>
    <t>Annesley et al. 1998</t>
  </si>
  <si>
    <t>Annesley and Madore, 1997</t>
  </si>
  <si>
    <t>Metamorphic age/crystllization</t>
  </si>
  <si>
    <t>Annesley et al. 1996</t>
  </si>
  <si>
    <t>Annesley et al. 1995</t>
  </si>
  <si>
    <t>Annesley et al. 1994</t>
  </si>
  <si>
    <t>Madore et al. 1999</t>
  </si>
  <si>
    <t>McArthur River</t>
  </si>
  <si>
    <t>Leucogranite</t>
  </si>
  <si>
    <t>ID-TIMS</t>
  </si>
  <si>
    <t>Granitic pegmatite</t>
  </si>
  <si>
    <t>Annesley et al. 2007</t>
  </si>
  <si>
    <t>Crystallization</t>
  </si>
  <si>
    <t>Millenium Deposit</t>
  </si>
  <si>
    <t>Archean granitic gneiss</t>
  </si>
  <si>
    <t>Annesley et al. 2003</t>
  </si>
  <si>
    <t>Russel Lake</t>
  </si>
  <si>
    <t>Foliated meta-tonalite</t>
  </si>
  <si>
    <t>Granitic gneiss</t>
  </si>
  <si>
    <t>Moore - Tomblin</t>
  </si>
  <si>
    <t>Porphyritic granite</t>
  </si>
  <si>
    <t>Technique</t>
  </si>
  <si>
    <t>TIMS</t>
  </si>
  <si>
    <t>Outcrop</t>
  </si>
  <si>
    <t>Sample type</t>
  </si>
  <si>
    <t>Map</t>
  </si>
  <si>
    <t>Area</t>
  </si>
  <si>
    <t>longitute</t>
  </si>
  <si>
    <t xml:space="preserve">UTM E </t>
  </si>
  <si>
    <t>UTM N</t>
  </si>
  <si>
    <t>3(5)</t>
  </si>
  <si>
    <t>Fife Island</t>
  </si>
  <si>
    <t>+20/-18</t>
  </si>
  <si>
    <t>+11/-9</t>
  </si>
  <si>
    <t>23</t>
  </si>
  <si>
    <t>Metamorphic age (lower intercept)</t>
  </si>
  <si>
    <t>Crystallization age (upper intercept)</t>
  </si>
  <si>
    <t>+15/-13</t>
  </si>
  <si>
    <t>34</t>
  </si>
  <si>
    <t>Hudsonian metamorphism (lower intercept)</t>
  </si>
  <si>
    <t>1850-1835</t>
  </si>
  <si>
    <t>Intrusive age</t>
  </si>
  <si>
    <t>Depth</t>
  </si>
  <si>
    <t>3</t>
  </si>
  <si>
    <t>Minimum Crystallization age</t>
  </si>
  <si>
    <t>2</t>
  </si>
  <si>
    <t>McClean Lake-Collins Creek</t>
  </si>
  <si>
    <t>+12/-11</t>
  </si>
  <si>
    <t>31</t>
  </si>
  <si>
    <t xml:space="preserve">Metamorphic age (lower intercept) </t>
  </si>
  <si>
    <t>Sue 2 - Collins Bay</t>
  </si>
  <si>
    <t>+5/-4</t>
  </si>
  <si>
    <t>+8/-7</t>
  </si>
  <si>
    <t>5</t>
  </si>
  <si>
    <t>lower intercept</t>
  </si>
  <si>
    <t>1800-1700</t>
  </si>
  <si>
    <t>+23/-21</t>
  </si>
  <si>
    <t>+19/-18</t>
  </si>
  <si>
    <t>+65/-60</t>
  </si>
  <si>
    <t>Allanite- and fluorite-bearing granite</t>
  </si>
  <si>
    <t>+10/-9</t>
  </si>
  <si>
    <t>SE Rabbit Lake</t>
  </si>
  <si>
    <t>14</t>
  </si>
  <si>
    <t>Lower intercept</t>
  </si>
  <si>
    <t>+9/-8</t>
  </si>
  <si>
    <t>Granite</t>
  </si>
  <si>
    <t>Horton Island</t>
  </si>
  <si>
    <t>+3/-2</t>
  </si>
  <si>
    <t>Lithoprobe report</t>
  </si>
  <si>
    <t>521.0-521.7</t>
  </si>
  <si>
    <t>521.0-521.8</t>
  </si>
  <si>
    <t>523.1-523.6</t>
  </si>
  <si>
    <t>529.0-529.40</t>
  </si>
  <si>
    <t>567.7-567.9</t>
  </si>
  <si>
    <t>568.2-568.5</t>
  </si>
  <si>
    <t>567.7-567.10</t>
  </si>
  <si>
    <t>568.2-568.6</t>
  </si>
  <si>
    <t>839.8-840.3</t>
  </si>
  <si>
    <t>839.8-840.4</t>
  </si>
  <si>
    <t>97.0-97.3 or 101.7-102.3</t>
  </si>
  <si>
    <t>97.0-97.3 or 101.7-102.4</t>
  </si>
  <si>
    <t>97.0-97.3 or 101.7-102.5</t>
  </si>
  <si>
    <t>241.4-242.0</t>
  </si>
  <si>
    <t>437.8-438.1 or 440.8-441.2</t>
  </si>
  <si>
    <t>437.8-438.1 or 440.8-441.1</t>
  </si>
  <si>
    <t>437.8-438.1 or 440.8-441.0</t>
  </si>
  <si>
    <t>503.8-504.0</t>
  </si>
  <si>
    <t>503.8-504.1</t>
  </si>
  <si>
    <t>503.8-504.2</t>
  </si>
  <si>
    <t>268.5-269.0 or 272.9-273.3 or 286.3-286.7</t>
  </si>
  <si>
    <t>+7/-5</t>
  </si>
  <si>
    <t>356.0-365.4 or 364.2-364.6</t>
  </si>
  <si>
    <t>356.0-365.4 or 364.2-364.7</t>
  </si>
  <si>
    <t>628.4-629.0</t>
  </si>
  <si>
    <t>760.25-760.50</t>
  </si>
  <si>
    <t>713.0-713.6</t>
  </si>
  <si>
    <t>653.4-653.9</t>
  </si>
  <si>
    <t>MAC-257</t>
  </si>
  <si>
    <t xml:space="preserve">MAC-257 </t>
  </si>
  <si>
    <t xml:space="preserve">CX-28 </t>
  </si>
  <si>
    <t>CX-28</t>
  </si>
  <si>
    <t>CX-30</t>
  </si>
  <si>
    <t xml:space="preserve">CX-30 </t>
  </si>
  <si>
    <t xml:space="preserve">CLC1-123 </t>
  </si>
  <si>
    <t>636.5-636.9</t>
  </si>
  <si>
    <t>+10/-7</t>
  </si>
  <si>
    <t>Upper intercept</t>
  </si>
  <si>
    <t>Disturbance/recrystallization</t>
  </si>
  <si>
    <t>Crystallization (Upper intercept)</t>
  </si>
  <si>
    <t>Metamorphism/recrystallization</t>
  </si>
  <si>
    <t xml:space="preserve">Crystallization </t>
  </si>
  <si>
    <t>Metamorphic overprint</t>
  </si>
  <si>
    <t>Thermal metamorphic</t>
  </si>
  <si>
    <t>WYL-10-62</t>
  </si>
  <si>
    <t>Fraser Lake Zone B -Group A</t>
  </si>
  <si>
    <t>Uraninite</t>
  </si>
  <si>
    <t>Chemical age</t>
  </si>
  <si>
    <t>1.8-1.85 Ga</t>
  </si>
  <si>
    <t>WYL-09-46</t>
  </si>
  <si>
    <t>Fraser Lake Zone B -Group B</t>
  </si>
  <si>
    <t>2.05-2.25 Ga</t>
  </si>
  <si>
    <t>Inherited age</t>
  </si>
  <si>
    <t>McKechnie et al., 2012</t>
  </si>
  <si>
    <t>McKechnie et al., 2013</t>
  </si>
  <si>
    <t>Mcfarlane and McKeough, 2013</t>
  </si>
  <si>
    <t>LA-ICP-MS</t>
  </si>
  <si>
    <t>Kulyk</t>
  </si>
  <si>
    <t>1.8-2.3</t>
  </si>
  <si>
    <t>Mcfarlane and McKeough, 2014</t>
  </si>
  <si>
    <t>Inherited age/Isothermal decompression</t>
  </si>
  <si>
    <t>Mercadier et al., 2013</t>
  </si>
  <si>
    <t>SIMS</t>
  </si>
  <si>
    <t>Hook Lake</t>
  </si>
  <si>
    <t>1</t>
  </si>
  <si>
    <t>Upper intercept (white zone)</t>
  </si>
  <si>
    <t>9</t>
  </si>
  <si>
    <t>Upper intercept (grey zone)</t>
  </si>
  <si>
    <t xml:space="preserve">Fraser Lake Zone B </t>
  </si>
  <si>
    <t>WYL-09-50</t>
  </si>
  <si>
    <t>30</t>
  </si>
  <si>
    <t>Moore Lakes</t>
  </si>
  <si>
    <t xml:space="preserve">Upper intercept </t>
  </si>
  <si>
    <t>8</t>
  </si>
  <si>
    <t>1.6-1.7</t>
  </si>
  <si>
    <t>1.7-1.9</t>
  </si>
  <si>
    <t>Hook Lake (white zone), Fraser Lake WYL09-50-233, Nob Hill</t>
  </si>
  <si>
    <t>Hooke Lake (grey zone), Fraser Lake Trench 2, Moore Lakes</t>
  </si>
  <si>
    <t>U vein</t>
  </si>
  <si>
    <t>McClean Lake</t>
  </si>
  <si>
    <t>Column4</t>
  </si>
  <si>
    <t>Column5</t>
  </si>
  <si>
    <t>Annesley et al., 1991</t>
  </si>
  <si>
    <t/>
  </si>
  <si>
    <t>Latitute2</t>
  </si>
  <si>
    <t>Reference</t>
  </si>
  <si>
    <t xml:space="preserve">  </t>
  </si>
  <si>
    <t>Sample ID</t>
  </si>
  <si>
    <t>NN-1</t>
  </si>
  <si>
    <t>NN-2</t>
  </si>
  <si>
    <t>NN-3</t>
  </si>
  <si>
    <t>NN-4</t>
  </si>
  <si>
    <t>NN-5</t>
  </si>
  <si>
    <t>Unique Value/Sample</t>
  </si>
  <si>
    <t>Unique Value/interpretation</t>
  </si>
  <si>
    <t>JM-1</t>
  </si>
  <si>
    <t>JM-2</t>
  </si>
  <si>
    <t>JM-3</t>
  </si>
  <si>
    <t>JM-4</t>
  </si>
  <si>
    <t>JM-5</t>
  </si>
  <si>
    <t>Mnz</t>
  </si>
  <si>
    <t>Ttn</t>
  </si>
  <si>
    <t>Urn</t>
  </si>
  <si>
    <t>Xtm</t>
  </si>
  <si>
    <t>Zrn</t>
  </si>
  <si>
    <t>Min_label</t>
  </si>
  <si>
    <t>Abreviation</t>
  </si>
  <si>
    <t>CLC1-123</t>
  </si>
  <si>
    <t>A230</t>
  </si>
  <si>
    <t xml:space="preserve">Va para la otra tabla </t>
  </si>
  <si>
    <t>Column6</t>
  </si>
  <si>
    <t>ERROR MUY ALTO</t>
  </si>
  <si>
    <t>+3/-3</t>
  </si>
  <si>
    <t>+11/-11</t>
  </si>
  <si>
    <t>ZM-08-02</t>
  </si>
  <si>
    <t>11</t>
  </si>
  <si>
    <t>±1</t>
  </si>
  <si>
    <t>±2</t>
  </si>
  <si>
    <t>±4</t>
  </si>
  <si>
    <t>±3</t>
  </si>
  <si>
    <t>±9</t>
  </si>
  <si>
    <t>±10</t>
  </si>
  <si>
    <t>±14</t>
  </si>
  <si>
    <t>±19</t>
  </si>
  <si>
    <t>±23</t>
  </si>
  <si>
    <t>±65</t>
  </si>
  <si>
    <t>±5</t>
  </si>
  <si>
    <t>±11</t>
  </si>
  <si>
    <t>±6</t>
  </si>
  <si>
    <t>±15</t>
  </si>
  <si>
    <t>±34</t>
  </si>
  <si>
    <t>±12</t>
  </si>
  <si>
    <t>±1.4</t>
  </si>
  <si>
    <t>±7</t>
  </si>
  <si>
    <t>±8</t>
  </si>
  <si>
    <t>±25</t>
  </si>
  <si>
    <t>±1.2</t>
  </si>
  <si>
    <t>±22</t>
  </si>
  <si>
    <t>Error</t>
  </si>
  <si>
    <t>Age + error</t>
  </si>
  <si>
    <t>Age + error + min</t>
  </si>
  <si>
    <t>Reference2</t>
  </si>
  <si>
    <t>1766 ±1 (Mnz)</t>
  </si>
  <si>
    <t>1789 ±4 (Ttn)</t>
  </si>
  <si>
    <t>1783 ±4 (Ttn)</t>
  </si>
  <si>
    <t>1828 ±3 (Ttn)</t>
  </si>
  <si>
    <t>2733 ±9 (Zrn)</t>
  </si>
  <si>
    <t>1815 ±2 (Zrn)</t>
  </si>
  <si>
    <t>1788 ±2 (Ttn)</t>
  </si>
  <si>
    <t>1812 ±2 (Mnz)</t>
  </si>
  <si>
    <t>2620 ±10 (Zrn)</t>
  </si>
  <si>
    <t>1798 ±14 (Zrn)</t>
  </si>
  <si>
    <t>2689 ±19 (Zrn)</t>
  </si>
  <si>
    <t>1778 ±2 (Ttn)</t>
  </si>
  <si>
    <t>2638 ±65 (Zrn)</t>
  </si>
  <si>
    <t>1779 ±2 (Ttn)</t>
  </si>
  <si>
    <t>1719 ±1 (Zrn)</t>
  </si>
  <si>
    <t>1820 ±5 (Zrn)</t>
  </si>
  <si>
    <t>1796 ±4 (Ttn)</t>
  </si>
  <si>
    <t>1792 ±4 (Ttn)</t>
  </si>
  <si>
    <t>2594 ±10 (Zrn)</t>
  </si>
  <si>
    <t>1806 ±2 (Mnz)</t>
  </si>
  <si>
    <t>1803 ±4 (Ttn)</t>
  </si>
  <si>
    <t>1788 ±4 (Ttn)</t>
  </si>
  <si>
    <t>1806 ±3 (Ttn)</t>
  </si>
  <si>
    <t>1828 ±3 (Zrn)</t>
  </si>
  <si>
    <t>1795 ±3 (Ttn)</t>
  </si>
  <si>
    <t>2726 ±3 (Zrn)</t>
  </si>
  <si>
    <t>1840 ±11 (Zrn)</t>
  </si>
  <si>
    <t>1790 ±1 (Mnz)</t>
  </si>
  <si>
    <t>1819 ±6 (Zrn)</t>
  </si>
  <si>
    <t>1808 ±4 (Zrn)</t>
  </si>
  <si>
    <t>1812 ±3 (Zrn)</t>
  </si>
  <si>
    <t>2626 ±15 (Zrn)</t>
  </si>
  <si>
    <t>1837 ±34 (Zrn)</t>
  </si>
  <si>
    <t>1818 ±1 (Zrn)</t>
  </si>
  <si>
    <t>1801 ±1 (Mnz)</t>
  </si>
  <si>
    <t>1811 ±1 (Zrn)</t>
  </si>
  <si>
    <t>1805 ±5 (Mnz)</t>
  </si>
  <si>
    <t>2714 ±12 (Zrn)</t>
  </si>
  <si>
    <t>1805.5 ±1.4 (Mnz)</t>
  </si>
  <si>
    <t>1822 ±5 (Zrn)</t>
  </si>
  <si>
    <t>1182 ±7 (Zrn)</t>
  </si>
  <si>
    <t>2731 ±25 (Zrn)</t>
  </si>
  <si>
    <t>1791.3 ±8 (Mnz)</t>
  </si>
  <si>
    <t>1816 ±7 (Zrn)</t>
  </si>
  <si>
    <t>1792.4 ±1.2 (Mnz)</t>
  </si>
  <si>
    <t>1224 ±6 (Zrn)</t>
  </si>
  <si>
    <t>1783 ±2 (Mnz)</t>
  </si>
  <si>
    <t>1824 ±3 (Zrn)</t>
  </si>
  <si>
    <t>1774 ±9 (Urn)</t>
  </si>
  <si>
    <t>1805 ±11 (Urn)</t>
  </si>
  <si>
    <t>1814.6 ±1.4 (Mnz)</t>
  </si>
  <si>
    <t>2.05-2.25 Ga  (Mnz)</t>
  </si>
  <si>
    <t>1.8-1.85 Ga  (Urn)</t>
  </si>
  <si>
    <t>1800 ±2 (Mnz)</t>
  </si>
  <si>
    <t>2592 ±7 (Zrn)</t>
  </si>
  <si>
    <t>2593 ±5 (Zrn)</t>
  </si>
  <si>
    <t>1819 ±2 (Mnz)</t>
  </si>
  <si>
    <t>2612 ±22 (Zrn)</t>
  </si>
  <si>
    <t>1803 ±1 (Mnz)</t>
  </si>
  <si>
    <t>2583 ±14 (Zrn)</t>
  </si>
  <si>
    <t>1821.9 ±2 (Mnz)</t>
  </si>
  <si>
    <t>1830 ±5 (Mnz)</t>
  </si>
  <si>
    <t>2786 ±7 (Zrn)</t>
  </si>
  <si>
    <t>1813 ±6 (Zrn)</t>
  </si>
  <si>
    <t>2717 ±12 (Zrn)</t>
  </si>
  <si>
    <t>1802 ±2 (Mnz)</t>
  </si>
  <si>
    <t>1814 ±5 (Zrn)</t>
  </si>
  <si>
    <t>1810 ±3 (Mnz)</t>
  </si>
  <si>
    <t>2706 ±5 (Zrn)</t>
  </si>
  <si>
    <t>1804 ±8 (Mnz)</t>
  </si>
  <si>
    <t>1752 ±2 (Ttn)</t>
  </si>
  <si>
    <t>Gneis</t>
  </si>
  <si>
    <t xml:space="preserve">Rock </t>
  </si>
  <si>
    <t>#</t>
  </si>
  <si>
    <t>Order</t>
  </si>
  <si>
    <t>Hudsonian metamorphism</t>
  </si>
  <si>
    <t>Calc-silicate</t>
  </si>
  <si>
    <t>McFarlane and McKeough, 2013</t>
  </si>
  <si>
    <t>Collins Bay</t>
  </si>
  <si>
    <t>Key Lake Road</t>
  </si>
  <si>
    <t>Annesley et al, 2002</t>
  </si>
  <si>
    <t>MAC-257-1</t>
  </si>
  <si>
    <t>1816 ±1 (Mnz)</t>
  </si>
  <si>
    <t>Lithology</t>
  </si>
  <si>
    <t>Granite pegmatitic dike</t>
  </si>
  <si>
    <t>Tonalite gneiss</t>
  </si>
  <si>
    <t>Orell et al. 1999</t>
  </si>
  <si>
    <t>Qtz–Feldspar gneiss</t>
  </si>
  <si>
    <t>Mafic gneiss</t>
  </si>
  <si>
    <t>1805 ± 1</t>
  </si>
  <si>
    <t>1804 Mnz</t>
  </si>
  <si>
    <t>Peraluminos granite dike</t>
  </si>
  <si>
    <t>Pelitic anatectites (Pegmatites)</t>
  </si>
  <si>
    <t>1966 - 1858</t>
  </si>
  <si>
    <t>Parslow et al. 1985</t>
  </si>
  <si>
    <t>2780 Zrn</t>
  </si>
  <si>
    <t>1800 Zrn</t>
  </si>
  <si>
    <t>Augen Gneiss</t>
  </si>
  <si>
    <t>2660-2628 Zrn</t>
  </si>
  <si>
    <t>2134 - 2580 Zrn*</t>
  </si>
  <si>
    <t>1880-1769 Mnz</t>
  </si>
  <si>
    <t>2614-1977 Zrn</t>
  </si>
  <si>
    <t>1802 ± 6 Zrn</t>
  </si>
  <si>
    <t>1809 Zrn</t>
  </si>
  <si>
    <t>Black Birch Lake</t>
  </si>
  <si>
    <t>Psammo pelitic gneiss</t>
  </si>
  <si>
    <t>1730-1770 Urn</t>
  </si>
  <si>
    <t>1880 Urn</t>
  </si>
  <si>
    <t>Williams-Jonnes &amp; Sawiuk 1985</t>
  </si>
  <si>
    <t>Karin Lake</t>
  </si>
  <si>
    <t>Quartzite–metapelite*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</si>
</sst>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16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wrapText="1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textRotation="90" wrapText="1"/>
    </xf>
    <xf numFmtId="0" fontId="2" fillId="2" borderId="0" xfId="0" applyFont="1" applyFill="1" applyAlignment="1">
      <alignment textRotation="90" wrapText="1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textRotation="90"/>
    </xf>
    <xf numFmtId="0" fontId="2" fillId="0" borderId="0" xfId="0" applyFont="1" applyAlignment="1">
      <alignment horizontal="left" textRotation="90"/>
    </xf>
    <xf numFmtId="0" fontId="2" fillId="2" borderId="0" xfId="0" applyFont="1" applyFill="1" applyAlignment="1">
      <alignment horizontal="right" textRotation="90"/>
    </xf>
    <xf numFmtId="0" fontId="2" fillId="2" borderId="0" xfId="0" applyFont="1" applyFill="1" applyAlignment="1">
      <alignment horizontal="right" textRotation="90" wrapText="1"/>
    </xf>
    <xf numFmtId="0" fontId="2" fillId="0" borderId="0" xfId="0" applyFont="1" applyAlignment="1">
      <alignment horizontal="right" textRotation="90" wrapText="1"/>
    </xf>
    <xf numFmtId="0" fontId="2" fillId="0" borderId="0" xfId="0" applyFont="1" applyAlignment="1">
      <alignment horizontal="center" textRotation="90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48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9A7500"/>
      <color rgb="FFFFE67D"/>
      <color rgb="FFD09E0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3A8945-738D-4BCD-B200-64A46C562C22}" name="Tabela134" displayName="Tabela134" ref="A1:E55" totalsRowShown="0" headerRowDxfId="47" dataDxfId="46">
  <autoFilter ref="A1:E55" xr:uid="{E9AB178B-7068-4D51-842E-2E686D646C66}"/>
  <tableColumns count="5">
    <tableColumn id="2" xr3:uid="{CBC1B297-0742-42A3-BF6D-E89DA1FD5376}" name="Sample" dataDxfId="45"/>
    <tableColumn id="3" xr3:uid="{5FFB6EBE-6368-4859-9786-732F490A044C}" name="Rock" dataDxfId="44"/>
    <tableColumn id="16" xr3:uid="{5A522946-7A85-4B97-BE10-0DBD2783D212}" name="Area" dataDxfId="43"/>
    <tableColumn id="19" xr3:uid="{7739237D-1FC5-4F79-99B3-FBCA3DABC8F6}" name="Reference" dataDxfId="42"/>
    <tableColumn id="22" xr3:uid="{21384FD4-361C-4CEB-B3B6-22F3BAFF9CB1}" name="Reference2" dataDxfId="4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AB178B-7068-4D51-842E-2E686D646C66}" name="Tabela1" displayName="Tabela1" ref="A1:R137" totalsRowShown="0" headerRowDxfId="40" dataDxfId="39">
  <autoFilter ref="A1:R137" xr:uid="{E9AB178B-7068-4D51-842E-2E686D646C66}">
    <filterColumn colId="4">
      <customFilters>
        <customFilter operator="notEqual" val=" "/>
      </customFilters>
    </filterColumn>
    <filterColumn colId="11">
      <filters>
        <filter val="Close Lake"/>
      </filters>
    </filterColumn>
  </autoFilter>
  <sortState xmlns:xlrd2="http://schemas.microsoft.com/office/spreadsheetml/2017/richdata2" ref="A2:R122">
    <sortCondition ref="L1:L137"/>
  </sortState>
  <tableColumns count="18">
    <tableColumn id="1" xr3:uid="{52A140B4-9DA6-44B9-B23C-437518078FA8}" name="Map" dataDxfId="38"/>
    <tableColumn id="2" xr3:uid="{92B91FFA-265C-4499-8F6F-CECD0DA75F42}" name="Sample" dataDxfId="37"/>
    <tableColumn id="3" xr3:uid="{FE39BBE0-8FFA-4974-9A63-450419AE0C7A}" name="Rock" dataDxfId="36"/>
    <tableColumn id="4" xr3:uid="{6EA4E8A7-77A1-47D6-956A-5BE2CA8DFB9E}" name="System" dataDxfId="35"/>
    <tableColumn id="5" xr3:uid="{CE35326C-8900-47DE-8732-61E6D3DF5FF6}" name="Technique" dataDxfId="34"/>
    <tableColumn id="6" xr3:uid="{87FEAE95-3B3F-491C-BC26-62C8BB4FA658}" name="Mineral" dataDxfId="33"/>
    <tableColumn id="7" xr3:uid="{3A8E90AD-7D87-431F-A883-FE7110931F66}" name="Age" dataDxfId="32"/>
    <tableColumn id="8" xr3:uid="{F40448C7-1A26-49BA-8BBD-DD70976A839F}" name="Analytical/Internal uncertainty (X)" dataDxfId="31"/>
    <tableColumn id="9" xr3:uid="{839C1DE6-A118-45B3-9FFC-330D80011DC1}" name="Interpretation" dataDxfId="30"/>
    <tableColumn id="10" xr3:uid="{04FA3651-09E7-44B4-9ABB-0A917AC0E4B9}" name="Sample type" dataDxfId="29"/>
    <tableColumn id="11" xr3:uid="{D7752C0F-D683-4140-BADD-E59B405B9662}" name="Depth" dataDxfId="28"/>
    <tableColumn id="12" xr3:uid="{2F656B41-ACA5-4646-A1C9-A2E430B95449}" name="Area" dataDxfId="27"/>
    <tableColumn id="13" xr3:uid="{809F5458-3309-4D25-BE31-C1F824C62700}" name="longitute" dataDxfId="26"/>
    <tableColumn id="14" xr3:uid="{AEA385B0-F820-4E32-9588-80BE8BA95B1D}" name="Latitute2" dataDxfId="25"/>
    <tableColumn id="15" xr3:uid="{862A2EDE-8703-49BD-B9D4-87A653B7FAC6}" name="UTM E " dataDxfId="24"/>
    <tableColumn id="16" xr3:uid="{EF0AB15A-CB40-4384-941B-16C63676D708}" name="UTM N" dataDxfId="23"/>
    <tableColumn id="20" xr3:uid="{A382E093-0CD1-40F7-898F-D09EC9337AE4}" name="Column4" dataDxfId="22"/>
    <tableColumn id="21" xr3:uid="{0B2C38E8-64D4-4A68-8103-36FB609AE6AC}" name="Column5" dataDxfId="2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44465A-FE8A-4641-AC2E-2318A909C9A6}" name="Tabela135" displayName="Tabela135" ref="A1:S122" totalsRowShown="0" headerRowDxfId="20" dataDxfId="19">
  <autoFilter ref="A1:S122" xr:uid="{E9AB178B-7068-4D51-842E-2E686D646C66}"/>
  <sortState xmlns:xlrd2="http://schemas.microsoft.com/office/spreadsheetml/2017/richdata2" ref="A2:S122">
    <sortCondition ref="B1:B122"/>
  </sortState>
  <tableColumns count="19">
    <tableColumn id="1" xr3:uid="{D69DF645-556A-4350-B552-87F92F34C4F6}" name="Map" dataDxfId="18"/>
    <tableColumn id="2" xr3:uid="{3549F5F8-ADD7-4530-8588-EEE380EB61CD}" name="Sample" dataDxfId="17"/>
    <tableColumn id="3" xr3:uid="{BC93F49B-8966-450E-A0D1-48F0A69C4C54}" name="Rock" dataDxfId="16"/>
    <tableColumn id="4" xr3:uid="{C3E8EE9B-3531-4505-983F-6B8D75D0E877}" name="System" dataDxfId="15"/>
    <tableColumn id="5" xr3:uid="{2A286A73-BF32-462E-9066-B51719249ADD}" name="Technique" dataDxfId="14"/>
    <tableColumn id="6" xr3:uid="{605E22E5-CF7F-4812-8198-F74BDFDCA3A6}" name="Mineral" dataDxfId="13"/>
    <tableColumn id="17" xr3:uid="{C78F634F-0592-4ED9-8858-9E36F7B617B7}" name="Min_label" dataDxfId="12">
      <calculatedColumnFormula>IF(Tabela135[[#This Row],[Mineral]]=$U$4,$V$4,IF(Tabela135[[#This Row],[Mineral]]=$U$5,$V$5,IF(Tabela135[[#This Row],[Mineral]]=$U$6,$V$6,IF(Tabela135[[#This Row],[Mineral]]=$U$7,$V$7,$V$8))))</calculatedColumnFormula>
    </tableColumn>
    <tableColumn id="7" xr3:uid="{BA39CE6E-4267-4EB3-8F18-E21477F5FC3E}" name="Age" dataDxfId="11"/>
    <tableColumn id="8" xr3:uid="{2E339313-C76B-4D3A-BB99-E7ABC72FE17C}" name="Analytical/Internal uncertainty (X)" dataDxfId="10"/>
    <tableColumn id="9" xr3:uid="{D4EE99A5-8967-422F-81B1-9064DE1F3133}" name="Interpretation" dataDxfId="9"/>
    <tableColumn id="10" xr3:uid="{4E0517FF-5CE7-4194-9368-8C637EA49CB0}" name="Sample type" dataDxfId="8"/>
    <tableColumn id="11" xr3:uid="{189785CF-1C3C-4964-BB17-62DFEEC18D4F}" name="Depth" dataDxfId="7"/>
    <tableColumn id="12" xr3:uid="{CA9CC448-2B2A-466C-BC33-E37727BA672F}" name="Area" dataDxfId="6"/>
    <tableColumn id="13" xr3:uid="{4E6B0EF2-46B4-4781-BC68-32A4215017F4}" name="longitute" dataDxfId="5"/>
    <tableColumn id="14" xr3:uid="{2F2C7326-39DE-405A-8FF5-17DFEFDE446E}" name="Latitute2" dataDxfId="4"/>
    <tableColumn id="15" xr3:uid="{EEB191D9-1565-4512-BB7C-F16E8C2F73F3}" name="UTM E " dataDxfId="3"/>
    <tableColumn id="16" xr3:uid="{B263B3FD-D67E-4B12-8CFD-97A0513366DE}" name="UTM N" dataDxfId="2"/>
    <tableColumn id="20" xr3:uid="{C0AFC9DB-785F-47B0-A18C-2105E93CA9BB}" name="Column4" dataDxfId="1"/>
    <tableColumn id="21" xr3:uid="{E5B00AB7-18B3-43FD-8BB7-690473AB171B}" name="Column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78A0-F7F1-45EA-B619-59512EA608A2}">
  <sheetPr>
    <tabColor theme="4" tint="0.79998168889431442"/>
  </sheetPr>
  <dimension ref="B1:J66"/>
  <sheetViews>
    <sheetView zoomScale="160" zoomScaleNormal="160" workbookViewId="0">
      <pane xSplit="1" ySplit="1" topLeftCell="B31" activePane="bottomRight" state="frozen"/>
      <selection pane="topRight" activeCell="C1" sqref="C1"/>
      <selection pane="bottomLeft" activeCell="A2" sqref="A2"/>
      <selection pane="bottomRight" activeCell="G44" sqref="G44"/>
    </sheetView>
  </sheetViews>
  <sheetFormatPr defaultRowHeight="15" x14ac:dyDescent="0.25"/>
  <cols>
    <col min="2" max="2" width="34.5703125" style="20" bestFit="1" customWidth="1"/>
    <col min="3" max="3" width="16.28515625" bestFit="1" customWidth="1"/>
    <col min="4" max="4" width="16.140625" style="1" bestFit="1" customWidth="1"/>
    <col min="5" max="5" width="15" style="1" bestFit="1" customWidth="1"/>
    <col min="6" max="6" width="17.85546875" style="1" bestFit="1" customWidth="1"/>
    <col min="7" max="8" width="26" style="1" bestFit="1" customWidth="1"/>
  </cols>
  <sheetData>
    <row r="1" spans="2:10" s="16" customFormat="1" ht="67.5" x14ac:dyDescent="0.25">
      <c r="B1" s="29" t="s">
        <v>92</v>
      </c>
      <c r="C1" s="30" t="s">
        <v>47</v>
      </c>
      <c r="D1" s="30" t="s">
        <v>5</v>
      </c>
      <c r="E1" s="30" t="s">
        <v>412</v>
      </c>
      <c r="F1" s="25" t="s">
        <v>247</v>
      </c>
      <c r="G1" s="30" t="s">
        <v>152</v>
      </c>
      <c r="H1" s="30" t="s">
        <v>280</v>
      </c>
      <c r="I1" s="16" t="s">
        <v>411</v>
      </c>
    </row>
    <row r="2" spans="2:10" x14ac:dyDescent="0.25">
      <c r="B2" s="18" t="s">
        <v>273</v>
      </c>
      <c r="C2" s="18" t="s">
        <v>278</v>
      </c>
      <c r="D2" s="2" t="s">
        <v>385</v>
      </c>
      <c r="E2" s="1" t="s">
        <v>278</v>
      </c>
      <c r="F2" s="1" t="s">
        <v>278</v>
      </c>
      <c r="G2" s="1" t="s">
        <v>258</v>
      </c>
      <c r="H2" s="1" t="s">
        <v>256</v>
      </c>
      <c r="I2" cm="1">
        <f t="array" ref="I2">VALUE(_xlfn.XLOOKUP(TRUE, ISNUMBER(SEARCH('Order table'!$B$3:$B$11,Final_table!B34)), 'Order table'!$C$3:$C$11))</f>
        <v>8</v>
      </c>
      <c r="J2">
        <v>1</v>
      </c>
    </row>
    <row r="3" spans="2:10" x14ac:dyDescent="0.25">
      <c r="B3" s="18" t="s">
        <v>273</v>
      </c>
      <c r="C3" s="18" t="s">
        <v>386</v>
      </c>
      <c r="D3" s="2" t="s">
        <v>278</v>
      </c>
      <c r="E3" s="1" t="s">
        <v>278</v>
      </c>
      <c r="F3" s="1" t="s">
        <v>278</v>
      </c>
      <c r="G3" s="1" t="s">
        <v>258</v>
      </c>
      <c r="H3" s="1" t="s">
        <v>256</v>
      </c>
      <c r="I3" cm="1">
        <f t="array" ref="I3">VALUE(_xlfn.XLOOKUP(TRUE, ISNUMBER(SEARCH('Order table'!$B$3:$B$11,Final_table!B35)), 'Order table'!$C$3:$C$11))</f>
        <v>8</v>
      </c>
      <c r="J3">
        <v>1</v>
      </c>
    </row>
    <row r="4" spans="2:10" x14ac:dyDescent="0.25">
      <c r="B4" s="18" t="s">
        <v>28</v>
      </c>
      <c r="C4" s="18" t="s">
        <v>278</v>
      </c>
      <c r="D4" s="2" t="s">
        <v>337</v>
      </c>
      <c r="E4" s="1" t="s">
        <v>278</v>
      </c>
      <c r="F4" s="1" t="s">
        <v>278</v>
      </c>
      <c r="G4" s="1" t="s">
        <v>105</v>
      </c>
      <c r="H4" s="1" t="s">
        <v>122</v>
      </c>
      <c r="I4" cm="1">
        <f t="array" ref="I4">VALUE(_xlfn.XLOOKUP(TRUE, ISNUMBER(SEARCH('Order table'!$B$3:$B$11,Final_table!B2)), 'Order table'!$C$3:$C$11))</f>
        <v>1</v>
      </c>
      <c r="J4">
        <v>2</v>
      </c>
    </row>
    <row r="5" spans="2:10" x14ac:dyDescent="0.25">
      <c r="B5" s="18" t="s">
        <v>28</v>
      </c>
      <c r="C5" s="18" t="s">
        <v>278</v>
      </c>
      <c r="D5" s="2" t="s">
        <v>358</v>
      </c>
      <c r="E5" s="1" t="s">
        <v>278</v>
      </c>
      <c r="F5" s="1" t="s">
        <v>278</v>
      </c>
      <c r="G5" s="1" t="s">
        <v>98</v>
      </c>
      <c r="H5" s="1" t="s">
        <v>122</v>
      </c>
      <c r="I5" cm="1">
        <f t="array" ref="I5">VALUE(_xlfn.XLOOKUP(TRUE, ISNUMBER(SEARCH('Order table'!$B$3:$B$11,Final_table!B18)), 'Order table'!$C$3:$C$11))</f>
        <v>3</v>
      </c>
      <c r="J5">
        <v>2</v>
      </c>
    </row>
    <row r="6" spans="2:10" x14ac:dyDescent="0.25">
      <c r="B6" s="18" t="s">
        <v>81</v>
      </c>
      <c r="C6" s="18" t="s">
        <v>278</v>
      </c>
      <c r="D6" s="2" t="s">
        <v>366</v>
      </c>
      <c r="E6" s="1" t="s">
        <v>278</v>
      </c>
      <c r="F6" s="1" t="s">
        <v>278</v>
      </c>
      <c r="G6" s="1" t="s">
        <v>103</v>
      </c>
      <c r="H6" s="1" t="s">
        <v>127</v>
      </c>
      <c r="I6" cm="1">
        <f t="array" ref="I6">VALUE(_xlfn.XLOOKUP(TRUE, ISNUMBER(SEARCH('Order table'!$B$3:$B$11,Final_table!B24)), 'Order table'!$C$3:$C$11))</f>
        <v>5</v>
      </c>
      <c r="J6">
        <v>2</v>
      </c>
    </row>
    <row r="7" spans="2:10" x14ac:dyDescent="0.25">
      <c r="B7" s="18" t="s">
        <v>28</v>
      </c>
      <c r="C7" s="18" t="s">
        <v>365</v>
      </c>
      <c r="D7" s="2" t="s">
        <v>278</v>
      </c>
      <c r="E7" s="1" t="s">
        <v>278</v>
      </c>
      <c r="F7" s="1" t="s">
        <v>278</v>
      </c>
      <c r="G7" s="1" t="s">
        <v>99</v>
      </c>
      <c r="H7" s="1" t="s">
        <v>127</v>
      </c>
      <c r="I7" cm="1">
        <f t="array" ref="I7">VALUE(_xlfn.XLOOKUP(TRUE, ISNUMBER(SEARCH('Order table'!$B$3:$B$11,Final_table!B23)), 'Order table'!$C$3:$C$11))</f>
        <v>5</v>
      </c>
      <c r="J7">
        <v>2</v>
      </c>
    </row>
    <row r="8" spans="2:10" x14ac:dyDescent="0.25">
      <c r="B8" s="18" t="s">
        <v>28</v>
      </c>
      <c r="C8" s="18" t="s">
        <v>372</v>
      </c>
      <c r="D8" s="2" t="s">
        <v>373</v>
      </c>
      <c r="E8" s="1" t="s">
        <v>278</v>
      </c>
      <c r="F8" s="1" t="s">
        <v>278</v>
      </c>
      <c r="G8" s="1" t="s">
        <v>112</v>
      </c>
      <c r="H8" s="1" t="s">
        <v>124</v>
      </c>
      <c r="I8" cm="1">
        <f t="array" ref="I8">VALUE(_xlfn.XLOOKUP(TRUE, ISNUMBER(SEARCH('Order table'!$B$3:$B$11,Final_table!B28)), 'Order table'!$C$3:$C$11))</f>
        <v>5</v>
      </c>
      <c r="J8">
        <v>2</v>
      </c>
    </row>
    <row r="9" spans="2:10" x14ac:dyDescent="0.25">
      <c r="B9" s="18" t="s">
        <v>136</v>
      </c>
      <c r="C9" s="18" t="s">
        <v>380</v>
      </c>
      <c r="D9" s="2" t="s">
        <v>381</v>
      </c>
      <c r="E9" s="1" t="s">
        <v>278</v>
      </c>
      <c r="F9" s="1" t="s">
        <v>278</v>
      </c>
      <c r="G9" s="1" t="s">
        <v>139</v>
      </c>
      <c r="H9" s="1" t="s">
        <v>137</v>
      </c>
      <c r="I9" cm="1">
        <f t="array" ref="I9">VALUE(_xlfn.XLOOKUP(TRUE, ISNUMBER(SEARCH('Order table'!$B$3:$B$11,Final_table!B32)), 'Order table'!$C$3:$C$11))</f>
        <v>6</v>
      </c>
      <c r="J9">
        <v>2</v>
      </c>
    </row>
    <row r="10" spans="2:10" x14ac:dyDescent="0.25">
      <c r="B10" s="18" t="s">
        <v>28</v>
      </c>
      <c r="C10" s="18" t="s">
        <v>376</v>
      </c>
      <c r="D10" s="2" t="s">
        <v>377</v>
      </c>
      <c r="E10" s="1" t="s">
        <v>278</v>
      </c>
      <c r="F10" s="1" t="s">
        <v>278</v>
      </c>
      <c r="G10" s="1" t="s">
        <v>110</v>
      </c>
      <c r="H10" s="1" t="s">
        <v>132</v>
      </c>
      <c r="I10" cm="1">
        <f t="array" ref="I10">VALUE(_xlfn.XLOOKUP(TRUE, ISNUMBER(SEARCH('Order table'!$B$3:$B$11,Final_table!B30)), 'Order table'!$C$3:$C$11))</f>
        <v>6</v>
      </c>
      <c r="J10">
        <v>2</v>
      </c>
    </row>
    <row r="11" spans="2:10" x14ac:dyDescent="0.25">
      <c r="B11" s="18" t="s">
        <v>28</v>
      </c>
      <c r="C11" s="18" t="s">
        <v>365</v>
      </c>
      <c r="D11" s="2" t="s">
        <v>382</v>
      </c>
      <c r="E11" s="1" t="s">
        <v>278</v>
      </c>
      <c r="F11" s="1" t="s">
        <v>278</v>
      </c>
      <c r="G11" s="1" t="s">
        <v>113</v>
      </c>
      <c r="H11" s="1" t="s">
        <v>132</v>
      </c>
      <c r="I11" cm="1">
        <f t="array" ref="I11">VALUE(_xlfn.XLOOKUP(TRUE, ISNUMBER(SEARCH('Order table'!$B$3:$B$11,Final_table!B33)), 'Order table'!$C$3:$C$11))</f>
        <v>7</v>
      </c>
      <c r="J11">
        <v>2</v>
      </c>
    </row>
    <row r="12" spans="2:10" x14ac:dyDescent="0.25">
      <c r="B12" s="18" t="s">
        <v>136</v>
      </c>
      <c r="C12" s="18" t="s">
        <v>389</v>
      </c>
      <c r="D12" s="2" t="s">
        <v>278</v>
      </c>
      <c r="E12" s="1" t="s">
        <v>278</v>
      </c>
      <c r="F12" s="1" t="s">
        <v>278</v>
      </c>
      <c r="G12" s="1" t="s">
        <v>240</v>
      </c>
      <c r="H12" s="1" t="s">
        <v>248</v>
      </c>
      <c r="I12" cm="1">
        <f t="array" ref="I12">VALUE(_xlfn.XLOOKUP(TRUE, ISNUMBER(SEARCH('Order table'!$B$3:$B$11,Final_table!B50)), 'Order table'!$C$3:$C$11))</f>
        <v>8</v>
      </c>
      <c r="J12">
        <v>2</v>
      </c>
    </row>
    <row r="13" spans="2:10" x14ac:dyDescent="0.25">
      <c r="B13" s="18" t="s">
        <v>136</v>
      </c>
      <c r="C13" s="18" t="s">
        <v>278</v>
      </c>
      <c r="D13" s="2" t="s">
        <v>278</v>
      </c>
      <c r="E13" s="1" t="s">
        <v>278</v>
      </c>
      <c r="F13" s="1" t="s">
        <v>388</v>
      </c>
      <c r="G13" s="1" t="s">
        <v>245</v>
      </c>
      <c r="H13" s="1" t="s">
        <v>249</v>
      </c>
      <c r="I13" cm="1">
        <f t="array" ref="I13">VALUE(_xlfn.XLOOKUP(TRUE, ISNUMBER(SEARCH('Order table'!$B$3:$B$11,Final_table!B49)), 'Order table'!$C$3:$C$11))</f>
        <v>8</v>
      </c>
      <c r="J13">
        <v>2</v>
      </c>
    </row>
    <row r="14" spans="2:10" x14ac:dyDescent="0.25">
      <c r="B14" s="18" t="s">
        <v>28</v>
      </c>
      <c r="C14" s="18" t="s">
        <v>398</v>
      </c>
      <c r="D14" s="2" t="s">
        <v>278</v>
      </c>
      <c r="E14" s="1" t="s">
        <v>278</v>
      </c>
      <c r="F14" s="1" t="s">
        <v>278</v>
      </c>
      <c r="G14" s="1" t="s">
        <v>252</v>
      </c>
      <c r="H14" s="1" t="s">
        <v>414</v>
      </c>
      <c r="I14" cm="1">
        <f t="array" ref="I14">VALUE(_xlfn.XLOOKUP(TRUE, ISNUMBER(SEARCH('Order table'!$B$3:$B$11,Final_table!B41)), 'Order table'!$C$3:$C$11))</f>
        <v>8</v>
      </c>
      <c r="J14">
        <v>2</v>
      </c>
    </row>
    <row r="15" spans="2:10" x14ac:dyDescent="0.25">
      <c r="B15" s="18" t="s">
        <v>136</v>
      </c>
      <c r="C15" s="18" t="s">
        <v>387</v>
      </c>
      <c r="D15" s="2" t="s">
        <v>278</v>
      </c>
      <c r="E15" s="1" t="s">
        <v>278</v>
      </c>
      <c r="F15" s="1" t="s">
        <v>278</v>
      </c>
      <c r="G15" s="1" t="s">
        <v>133</v>
      </c>
      <c r="H15" s="1" t="s">
        <v>137</v>
      </c>
      <c r="I15" cm="1">
        <f t="array" ref="I15">VALUE(_xlfn.XLOOKUP(TRUE, ISNUMBER(SEARCH('Order table'!$B$3:$B$11,Final_table!B36)), 'Order table'!$C$3:$C$11))</f>
        <v>8</v>
      </c>
      <c r="J15">
        <v>2</v>
      </c>
    </row>
    <row r="16" spans="2:10" x14ac:dyDescent="0.25">
      <c r="B16" s="18" t="s">
        <v>28</v>
      </c>
      <c r="C16" s="18" t="s">
        <v>344</v>
      </c>
      <c r="D16" s="2" t="s">
        <v>278</v>
      </c>
      <c r="E16" s="1" t="s">
        <v>278</v>
      </c>
      <c r="F16" s="1" t="s">
        <v>278</v>
      </c>
      <c r="G16" s="1" t="s">
        <v>114</v>
      </c>
      <c r="H16" s="1" t="s">
        <v>125</v>
      </c>
      <c r="I16" cm="1">
        <f t="array" ref="I16">VALUE(_xlfn.XLOOKUP(TRUE, ISNUMBER(SEARCH('Order table'!$B$3:$B$11,Final_table!B43)), 'Order table'!$C$3:$C$11))</f>
        <v>8</v>
      </c>
      <c r="J16">
        <v>2</v>
      </c>
    </row>
    <row r="17" spans="2:10" x14ac:dyDescent="0.25">
      <c r="B17" s="18" t="s">
        <v>28</v>
      </c>
      <c r="C17" s="18" t="s">
        <v>404</v>
      </c>
      <c r="D17" s="2" t="s">
        <v>278</v>
      </c>
      <c r="E17" s="1" t="s">
        <v>278</v>
      </c>
      <c r="F17" s="1" t="s">
        <v>278</v>
      </c>
      <c r="G17" s="1" t="s">
        <v>274</v>
      </c>
      <c r="H17" s="1" t="s">
        <v>127</v>
      </c>
      <c r="I17" cm="1">
        <f t="array" ref="I17">VALUE(_xlfn.XLOOKUP(TRUE, ISNUMBER(SEARCH('Order table'!$B$3:$B$11,Final_table!B46)), 'Order table'!$C$3:$C$11))</f>
        <v>8</v>
      </c>
      <c r="J17">
        <v>2</v>
      </c>
    </row>
    <row r="18" spans="2:10" x14ac:dyDescent="0.25">
      <c r="B18" s="18" t="s">
        <v>30</v>
      </c>
      <c r="C18" s="18" t="s">
        <v>278</v>
      </c>
      <c r="D18" s="2" t="s">
        <v>338</v>
      </c>
      <c r="E18" s="1" t="s">
        <v>278</v>
      </c>
      <c r="F18" s="1" t="s">
        <v>278</v>
      </c>
      <c r="G18" s="1" t="s">
        <v>98</v>
      </c>
      <c r="H18" s="1" t="s">
        <v>118</v>
      </c>
      <c r="I18" cm="1">
        <f t="array" ref="I18">VALUE(_xlfn.XLOOKUP(TRUE, ISNUMBER(SEARCH('Order table'!$B$3:$B$11,Final_table!B3)), 'Order table'!$C$3:$C$11))</f>
        <v>1</v>
      </c>
      <c r="J18">
        <v>3</v>
      </c>
    </row>
    <row r="19" spans="2:10" x14ac:dyDescent="0.25">
      <c r="B19" s="18" t="s">
        <v>16</v>
      </c>
      <c r="C19" s="18" t="s">
        <v>278</v>
      </c>
      <c r="D19" s="2" t="s">
        <v>353</v>
      </c>
      <c r="E19" s="1" t="s">
        <v>278</v>
      </c>
      <c r="F19" s="1" t="s">
        <v>278</v>
      </c>
      <c r="G19" s="1" t="s">
        <v>98</v>
      </c>
      <c r="H19" s="1" t="s">
        <v>122</v>
      </c>
      <c r="I19" cm="1">
        <f t="array" ref="I19">VALUE(_xlfn.XLOOKUP(TRUE, ISNUMBER(SEARCH('Order table'!$B$3:$B$11,Final_table!B14)), 'Order table'!$C$3:$C$11))</f>
        <v>2</v>
      </c>
      <c r="J19">
        <v>3</v>
      </c>
    </row>
    <row r="20" spans="2:10" x14ac:dyDescent="0.25">
      <c r="B20" s="18" t="s">
        <v>16</v>
      </c>
      <c r="C20" s="18" t="s">
        <v>278</v>
      </c>
      <c r="D20" s="2" t="s">
        <v>339</v>
      </c>
      <c r="E20" s="1" t="s">
        <v>278</v>
      </c>
      <c r="F20" s="1" t="s">
        <v>278</v>
      </c>
      <c r="G20" s="1" t="s">
        <v>98</v>
      </c>
      <c r="H20" s="1" t="s">
        <v>122</v>
      </c>
      <c r="I20" cm="1">
        <f t="array" ref="I20">VALUE(_xlfn.XLOOKUP(TRUE, ISNUMBER(SEARCH('Order table'!$B$3:$B$11,Final_table!B4)), 'Order table'!$C$3:$C$11))</f>
        <v>2</v>
      </c>
      <c r="J20">
        <v>3</v>
      </c>
    </row>
    <row r="21" spans="2:10" x14ac:dyDescent="0.25">
      <c r="B21" s="18" t="s">
        <v>67</v>
      </c>
      <c r="C21" s="18" t="s">
        <v>278</v>
      </c>
      <c r="D21" s="2" t="s">
        <v>407</v>
      </c>
      <c r="E21" s="1" t="s">
        <v>278</v>
      </c>
      <c r="F21" s="1" t="s">
        <v>278</v>
      </c>
      <c r="G21" s="1" t="s">
        <v>172</v>
      </c>
      <c r="H21" s="1" t="s">
        <v>129</v>
      </c>
      <c r="I21" cm="1">
        <f t="array" ref="I21">VALUE(_xlfn.XLOOKUP(TRUE, ISNUMBER(SEARCH('Order table'!$B$3:$B$11,Final_table!B48)), 'Order table'!$C$3:$C$11))</f>
        <v>8</v>
      </c>
      <c r="J21">
        <v>4</v>
      </c>
    </row>
    <row r="22" spans="2:10" x14ac:dyDescent="0.25">
      <c r="B22" s="18" t="s">
        <v>77</v>
      </c>
      <c r="C22" s="18" t="s">
        <v>278</v>
      </c>
      <c r="D22" s="2" t="s">
        <v>351</v>
      </c>
      <c r="E22" s="1" t="s">
        <v>278</v>
      </c>
      <c r="F22" s="1" t="s">
        <v>278</v>
      </c>
      <c r="G22" s="1" t="s">
        <v>97</v>
      </c>
      <c r="H22" s="1" t="s">
        <v>278</v>
      </c>
      <c r="I22" cm="1">
        <f t="array" ref="I22">VALUE(_xlfn.XLOOKUP(TRUE, ISNUMBER(SEARCH('Order table'!$B$3:$B$11,Final_table!B12)), 'Order table'!$C$3:$C$11))</f>
        <v>2</v>
      </c>
      <c r="J22">
        <v>5</v>
      </c>
    </row>
    <row r="23" spans="2:10" x14ac:dyDescent="0.25">
      <c r="B23" s="18" t="s">
        <v>58</v>
      </c>
      <c r="C23" s="18" t="s">
        <v>342</v>
      </c>
      <c r="D23" s="2" t="s">
        <v>343</v>
      </c>
      <c r="E23" s="1" t="s">
        <v>278</v>
      </c>
      <c r="F23" s="1" t="s">
        <v>278</v>
      </c>
      <c r="G23" s="1" t="s">
        <v>97</v>
      </c>
      <c r="H23" s="1" t="s">
        <v>118</v>
      </c>
      <c r="I23" cm="1">
        <f t="array" ref="I23">VALUE(_xlfn.XLOOKUP(TRUE, ISNUMBER(SEARCH('Order table'!$B$3:$B$11,Final_table!B7)), 'Order table'!$C$3:$C$11))</f>
        <v>2</v>
      </c>
      <c r="J23">
        <v>5</v>
      </c>
    </row>
    <row r="24" spans="2:10" x14ac:dyDescent="0.25">
      <c r="B24" s="18" t="s">
        <v>38</v>
      </c>
      <c r="C24" s="18" t="s">
        <v>362</v>
      </c>
      <c r="D24" s="2" t="s">
        <v>278</v>
      </c>
      <c r="E24" s="1" t="s">
        <v>278</v>
      </c>
      <c r="F24" s="1" t="s">
        <v>278</v>
      </c>
      <c r="G24" s="1" t="s">
        <v>157</v>
      </c>
      <c r="H24" s="1" t="s">
        <v>122</v>
      </c>
      <c r="I24" cm="1">
        <f t="array" ref="I24">VALUE(_xlfn.XLOOKUP(TRUE, ISNUMBER(SEARCH('Order table'!$B$3:$B$11,Final_table!B21)), 'Order table'!$C$3:$C$11))</f>
        <v>4</v>
      </c>
      <c r="J24">
        <v>5</v>
      </c>
    </row>
    <row r="25" spans="2:10" x14ac:dyDescent="0.25">
      <c r="B25" s="18" t="s">
        <v>60</v>
      </c>
      <c r="C25" s="18" t="s">
        <v>363</v>
      </c>
      <c r="D25" s="2" t="s">
        <v>364</v>
      </c>
      <c r="E25" s="1" t="s">
        <v>278</v>
      </c>
      <c r="F25" s="1" t="s">
        <v>278</v>
      </c>
      <c r="G25" s="1" t="s">
        <v>99</v>
      </c>
      <c r="H25" s="1" t="s">
        <v>122</v>
      </c>
      <c r="I25" cm="1">
        <f t="array" ref="I25">VALUE(_xlfn.XLOOKUP(TRUE, ISNUMBER(SEARCH('Order table'!$B$3:$B$11,Final_table!B22)), 'Order table'!$C$3:$C$11))</f>
        <v>5</v>
      </c>
      <c r="J25">
        <v>5</v>
      </c>
    </row>
    <row r="26" spans="2:10" x14ac:dyDescent="0.25">
      <c r="B26" s="18" t="s">
        <v>58</v>
      </c>
      <c r="C26" s="18" t="s">
        <v>367</v>
      </c>
      <c r="D26" s="2" t="s">
        <v>278</v>
      </c>
      <c r="E26" s="1" t="s">
        <v>278</v>
      </c>
      <c r="F26" s="1" t="s">
        <v>278</v>
      </c>
      <c r="G26" s="1" t="s">
        <v>102</v>
      </c>
      <c r="H26" s="1" t="s">
        <v>130</v>
      </c>
      <c r="I26" cm="1">
        <f t="array" ref="I26">VALUE(_xlfn.XLOOKUP(TRUE, ISNUMBER(SEARCH('Order table'!$B$3:$B$11,Final_table!B25)), 'Order table'!$C$3:$C$11))</f>
        <v>5</v>
      </c>
      <c r="J26">
        <v>5</v>
      </c>
    </row>
    <row r="27" spans="2:10" x14ac:dyDescent="0.25">
      <c r="B27" s="18" t="s">
        <v>38</v>
      </c>
      <c r="C27" s="18" t="s">
        <v>392</v>
      </c>
      <c r="D27" s="2" t="s">
        <v>393</v>
      </c>
      <c r="E27" s="1" t="s">
        <v>278</v>
      </c>
      <c r="F27" s="1" t="s">
        <v>278</v>
      </c>
      <c r="G27" s="1" t="s">
        <v>145</v>
      </c>
      <c r="H27" s="1" t="s">
        <v>124</v>
      </c>
      <c r="I27" cm="1">
        <f t="array" ref="I27">VALUE(_xlfn.XLOOKUP(TRUE, ISNUMBER(SEARCH('Order table'!$B$3:$B$11,Final_table!B38)), 'Order table'!$C$3:$C$11))</f>
        <v>8</v>
      </c>
      <c r="J27">
        <v>5</v>
      </c>
    </row>
    <row r="28" spans="2:10" x14ac:dyDescent="0.25">
      <c r="B28" s="18" t="s">
        <v>38</v>
      </c>
      <c r="C28" s="18" t="s">
        <v>370</v>
      </c>
      <c r="D28" s="2" t="s">
        <v>383</v>
      </c>
      <c r="E28" s="1" t="s">
        <v>278</v>
      </c>
      <c r="F28" s="1" t="s">
        <v>278</v>
      </c>
      <c r="G28" s="1" t="s">
        <v>115</v>
      </c>
      <c r="H28" s="1" t="s">
        <v>124</v>
      </c>
      <c r="I28" cm="1">
        <f t="array" ref="I28">VALUE(_xlfn.XLOOKUP(TRUE, ISNUMBER(SEARCH('Order table'!$B$3:$B$11,Final_table!B52)), 'Order table'!$C$3:$C$11))</f>
        <v>8</v>
      </c>
      <c r="J28">
        <v>5</v>
      </c>
    </row>
    <row r="29" spans="2:10" x14ac:dyDescent="0.25">
      <c r="B29" s="18" t="s">
        <v>146</v>
      </c>
      <c r="C29" s="18" t="s">
        <v>384</v>
      </c>
      <c r="D29" s="2" t="s">
        <v>278</v>
      </c>
      <c r="E29" s="1" t="s">
        <v>278</v>
      </c>
      <c r="F29" s="1" t="s">
        <v>278</v>
      </c>
      <c r="G29" s="1" t="s">
        <v>115</v>
      </c>
      <c r="H29" s="1" t="s">
        <v>124</v>
      </c>
      <c r="I29" cm="1">
        <f t="array" ref="I29">VALUE(_xlfn.XLOOKUP(TRUE, ISNUMBER(SEARCH('Order table'!$B$3:$B$11,Final_table!B53)), 'Order table'!$C$3:$C$11))</f>
        <v>8</v>
      </c>
      <c r="J29">
        <v>5</v>
      </c>
    </row>
    <row r="30" spans="2:10" x14ac:dyDescent="0.25">
      <c r="B30" s="18" t="s">
        <v>79</v>
      </c>
      <c r="C30" s="18" t="s">
        <v>352</v>
      </c>
      <c r="D30" s="2" t="s">
        <v>278</v>
      </c>
      <c r="E30" s="1" t="s">
        <v>278</v>
      </c>
      <c r="F30" s="1" t="s">
        <v>278</v>
      </c>
      <c r="G30" s="1" t="s">
        <v>97</v>
      </c>
      <c r="H30" s="1" t="s">
        <v>118</v>
      </c>
      <c r="I30" cm="1">
        <f t="array" ref="I30">VALUE(_xlfn.XLOOKUP(TRUE, ISNUMBER(SEARCH('Order table'!$B$3:$B$11,Final_table!B13)), 'Order table'!$C$3:$C$11))</f>
        <v>2</v>
      </c>
      <c r="J30">
        <v>6</v>
      </c>
    </row>
    <row r="31" spans="2:10" x14ac:dyDescent="0.25">
      <c r="B31" s="18" t="s">
        <v>7</v>
      </c>
      <c r="C31" s="18" t="s">
        <v>340</v>
      </c>
      <c r="D31" s="2" t="s">
        <v>278</v>
      </c>
      <c r="E31" s="1" t="s">
        <v>278</v>
      </c>
      <c r="F31" s="1" t="s">
        <v>278</v>
      </c>
      <c r="G31" s="1" t="s">
        <v>98</v>
      </c>
      <c r="H31" s="1" t="s">
        <v>119</v>
      </c>
      <c r="I31" cm="1">
        <f t="array" ref="I31">VALUE(_xlfn.XLOOKUP(TRUE, ISNUMBER(SEARCH('Order table'!$B$3:$B$11,Final_table!B5)), 'Order table'!$C$3:$C$11))</f>
        <v>2</v>
      </c>
      <c r="J31">
        <v>6</v>
      </c>
    </row>
    <row r="32" spans="2:10" x14ac:dyDescent="0.25">
      <c r="B32" s="18" t="s">
        <v>7</v>
      </c>
      <c r="C32" s="18" t="s">
        <v>360</v>
      </c>
      <c r="D32" s="2" t="s">
        <v>361</v>
      </c>
      <c r="E32" s="1" t="s">
        <v>278</v>
      </c>
      <c r="F32" s="1" t="s">
        <v>278</v>
      </c>
      <c r="G32" s="1" t="s">
        <v>100</v>
      </c>
      <c r="H32" s="1" t="s">
        <v>130</v>
      </c>
      <c r="I32" cm="1">
        <f t="array" ref="I32">VALUE(_xlfn.XLOOKUP(TRUE, ISNUMBER(SEARCH('Order table'!$B$3:$B$11,Final_table!B20)), 'Order table'!$C$3:$C$11))</f>
        <v>3</v>
      </c>
      <c r="J32">
        <v>6</v>
      </c>
    </row>
    <row r="33" spans="2:10" x14ac:dyDescent="0.25">
      <c r="B33" s="18" t="s">
        <v>143</v>
      </c>
      <c r="C33" s="18" t="s">
        <v>394</v>
      </c>
      <c r="D33" s="2" t="s">
        <v>395</v>
      </c>
      <c r="E33" s="1" t="s">
        <v>278</v>
      </c>
      <c r="F33" s="1" t="s">
        <v>278</v>
      </c>
      <c r="G33" s="1" t="s">
        <v>142</v>
      </c>
      <c r="H33" s="1" t="s">
        <v>137</v>
      </c>
      <c r="I33" cm="1">
        <f t="array" ref="I33">VALUE(_xlfn.XLOOKUP(TRUE, ISNUMBER(SEARCH('Order table'!$B$3:$B$11,Final_table!B39)), 'Order table'!$C$3:$C$11))</f>
        <v>8</v>
      </c>
      <c r="J33">
        <v>7</v>
      </c>
    </row>
    <row r="34" spans="2:10" x14ac:dyDescent="0.25">
      <c r="B34" s="18" t="s">
        <v>84</v>
      </c>
      <c r="C34" s="18" t="s">
        <v>349</v>
      </c>
      <c r="D34" s="2" t="s">
        <v>350</v>
      </c>
      <c r="E34" s="1" t="s">
        <v>278</v>
      </c>
      <c r="F34" s="1" t="s">
        <v>278</v>
      </c>
      <c r="G34" s="1" t="s">
        <v>121</v>
      </c>
      <c r="H34" s="1" t="s">
        <v>118</v>
      </c>
      <c r="I34" cm="1">
        <f t="array" ref="I34">VALUE(_xlfn.XLOOKUP(TRUE, ISNUMBER(SEARCH('Order table'!$B$3:$B$11,Final_table!B11)), 'Order table'!$C$3:$C$11))</f>
        <v>2</v>
      </c>
      <c r="J34">
        <v>8</v>
      </c>
    </row>
    <row r="35" spans="2:10" x14ac:dyDescent="0.25">
      <c r="B35" s="18" t="s">
        <v>55</v>
      </c>
      <c r="C35" s="18" t="s">
        <v>347</v>
      </c>
      <c r="D35" s="2" t="s">
        <v>348</v>
      </c>
      <c r="E35" s="1" t="s">
        <v>278</v>
      </c>
      <c r="F35" s="1" t="s">
        <v>278</v>
      </c>
      <c r="G35" s="1" t="s">
        <v>121</v>
      </c>
      <c r="H35" s="1" t="s">
        <v>120</v>
      </c>
      <c r="I35" cm="1">
        <f t="array" ref="I35">VALUE(_xlfn.XLOOKUP(TRUE, ISNUMBER(SEARCH('Order table'!$B$3:$B$11,Final_table!B10)), 'Order table'!$C$3:$C$11))</f>
        <v>2</v>
      </c>
      <c r="J35">
        <v>8</v>
      </c>
    </row>
    <row r="36" spans="2:10" x14ac:dyDescent="0.25">
      <c r="B36" s="18" t="s">
        <v>75</v>
      </c>
      <c r="C36" s="18" t="s">
        <v>278</v>
      </c>
      <c r="D36" s="2" t="s">
        <v>344</v>
      </c>
      <c r="E36" s="1" t="s">
        <v>278</v>
      </c>
      <c r="F36" s="1" t="s">
        <v>278</v>
      </c>
      <c r="G36" s="1" t="s">
        <v>97</v>
      </c>
      <c r="H36" s="1" t="s">
        <v>118</v>
      </c>
      <c r="I36" cm="1">
        <f t="array" ref="I36">VALUE(_xlfn.XLOOKUP(TRUE, ISNUMBER(SEARCH('Order table'!$B$3:$B$11,Final_table!B8)), 'Order table'!$C$3:$C$11))</f>
        <v>2</v>
      </c>
      <c r="J36">
        <v>8</v>
      </c>
    </row>
    <row r="37" spans="2:10" x14ac:dyDescent="0.25">
      <c r="B37" s="18" t="s">
        <v>26</v>
      </c>
      <c r="C37" s="18" t="s">
        <v>341</v>
      </c>
      <c r="D37" s="2" t="s">
        <v>278</v>
      </c>
      <c r="E37" s="1" t="s">
        <v>278</v>
      </c>
      <c r="F37" s="1" t="s">
        <v>278</v>
      </c>
      <c r="G37" s="1" t="s">
        <v>98</v>
      </c>
      <c r="H37" s="1" t="s">
        <v>118</v>
      </c>
      <c r="I37" cm="1">
        <f t="array" ref="I37">VALUE(_xlfn.XLOOKUP(TRUE, ISNUMBER(SEARCH('Order table'!$B$3:$B$11,Final_table!B6)), 'Order table'!$C$3:$C$11))</f>
        <v>2</v>
      </c>
      <c r="J37">
        <v>8</v>
      </c>
    </row>
    <row r="38" spans="2:10" x14ac:dyDescent="0.25">
      <c r="B38" s="18" t="s">
        <v>2</v>
      </c>
      <c r="C38" s="18" t="s">
        <v>278</v>
      </c>
      <c r="D38" s="2" t="s">
        <v>354</v>
      </c>
      <c r="E38" s="1" t="s">
        <v>278</v>
      </c>
      <c r="F38" s="1" t="s">
        <v>278</v>
      </c>
      <c r="G38" s="1" t="s">
        <v>98</v>
      </c>
      <c r="H38" s="1" t="s">
        <v>122</v>
      </c>
      <c r="I38" cm="1">
        <f t="array" ref="I38">VALUE(_xlfn.XLOOKUP(TRUE, ISNUMBER(SEARCH('Order table'!$B$3:$B$11,Final_table!B15)), 'Order table'!$C$3:$C$11))</f>
        <v>2</v>
      </c>
      <c r="J38">
        <v>8</v>
      </c>
    </row>
    <row r="39" spans="2:10" x14ac:dyDescent="0.25">
      <c r="B39" s="18" t="s">
        <v>24</v>
      </c>
      <c r="C39" s="18" t="s">
        <v>278</v>
      </c>
      <c r="D39" s="2" t="s">
        <v>357</v>
      </c>
      <c r="E39" s="1" t="s">
        <v>278</v>
      </c>
      <c r="F39" s="1" t="s">
        <v>278</v>
      </c>
      <c r="G39" s="1" t="s">
        <v>98</v>
      </c>
      <c r="H39" s="1" t="s">
        <v>122</v>
      </c>
      <c r="I39" cm="1">
        <f t="array" ref="I39">VALUE(_xlfn.XLOOKUP(TRUE, ISNUMBER(SEARCH('Order table'!$B$3:$B$11,Final_table!B17)), 'Order table'!$C$3:$C$11))</f>
        <v>2</v>
      </c>
      <c r="J39">
        <v>8</v>
      </c>
    </row>
    <row r="40" spans="2:10" x14ac:dyDescent="0.25">
      <c r="B40" s="18" t="s">
        <v>22</v>
      </c>
      <c r="C40" s="18" t="s">
        <v>355</v>
      </c>
      <c r="D40" s="2" t="s">
        <v>356</v>
      </c>
      <c r="E40" s="1" t="s">
        <v>278</v>
      </c>
      <c r="F40" s="1" t="s">
        <v>278</v>
      </c>
      <c r="G40" s="1" t="s">
        <v>98</v>
      </c>
      <c r="H40" s="1" t="s">
        <v>122</v>
      </c>
      <c r="I40" cm="1">
        <f t="array" ref="I40">VALUE(_xlfn.XLOOKUP(TRUE, ISNUMBER(SEARCH('Order table'!$B$3:$B$11,Final_table!B16)), 'Order table'!$C$3:$C$11))</f>
        <v>2</v>
      </c>
      <c r="J40">
        <v>8</v>
      </c>
    </row>
    <row r="41" spans="2:10" x14ac:dyDescent="0.25">
      <c r="B41" s="18" t="s">
        <v>2</v>
      </c>
      <c r="C41" s="18" t="s">
        <v>345</v>
      </c>
      <c r="D41" s="2" t="s">
        <v>346</v>
      </c>
      <c r="E41" s="1" t="s">
        <v>278</v>
      </c>
      <c r="F41" s="1" t="s">
        <v>278</v>
      </c>
      <c r="G41" s="1" t="s">
        <v>187</v>
      </c>
      <c r="H41" s="1" t="s">
        <v>118</v>
      </c>
      <c r="I41" cm="1">
        <f t="array" ref="I41">VALUE(_xlfn.XLOOKUP(TRUE, ISNUMBER(SEARCH('Order table'!$B$3:$B$11,Final_table!B9)), 'Order table'!$C$3:$C$11))</f>
        <v>2</v>
      </c>
      <c r="J41">
        <v>8</v>
      </c>
    </row>
    <row r="42" spans="2:10" x14ac:dyDescent="0.25">
      <c r="B42" s="18" t="s">
        <v>18</v>
      </c>
      <c r="C42" s="18" t="s">
        <v>278</v>
      </c>
      <c r="D42" s="2" t="s">
        <v>359</v>
      </c>
      <c r="E42" s="1" t="s">
        <v>278</v>
      </c>
      <c r="F42" s="1" t="s">
        <v>278</v>
      </c>
      <c r="G42" s="1" t="s">
        <v>98</v>
      </c>
      <c r="H42" s="1" t="s">
        <v>122</v>
      </c>
      <c r="I42" cm="1">
        <f t="array" ref="I42">VALUE(_xlfn.XLOOKUP(TRUE, ISNUMBER(SEARCH('Order table'!$B$3:$B$11,Final_table!B19)), 'Order table'!$C$3:$C$11))</f>
        <v>3</v>
      </c>
      <c r="J42">
        <v>8</v>
      </c>
    </row>
    <row r="43" spans="2:10" x14ac:dyDescent="0.25">
      <c r="B43" s="18" t="s">
        <v>55</v>
      </c>
      <c r="C43" s="18" t="s">
        <v>374</v>
      </c>
      <c r="D43" s="2" t="s">
        <v>375</v>
      </c>
      <c r="E43" s="1" t="s">
        <v>278</v>
      </c>
      <c r="F43" s="1" t="s">
        <v>278</v>
      </c>
      <c r="G43" s="1" t="s">
        <v>110</v>
      </c>
      <c r="H43" s="1" t="s">
        <v>141</v>
      </c>
      <c r="I43" cm="1">
        <f t="array" ref="I43">VALUE(_xlfn.XLOOKUP(TRUE, ISNUMBER(SEARCH('Order table'!$B$3:$B$11,Final_table!B29)), 'Order table'!$C$3:$C$11))</f>
        <v>5</v>
      </c>
      <c r="J43">
        <v>8</v>
      </c>
    </row>
    <row r="44" spans="2:10" x14ac:dyDescent="0.25">
      <c r="B44" s="18" t="s">
        <v>43</v>
      </c>
      <c r="C44" s="18" t="s">
        <v>368</v>
      </c>
      <c r="D44" s="2" t="s">
        <v>278</v>
      </c>
      <c r="E44" s="1" t="s">
        <v>369</v>
      </c>
      <c r="F44" s="1" t="s">
        <v>278</v>
      </c>
      <c r="G44" s="1" t="s">
        <v>103</v>
      </c>
      <c r="H44" s="1" t="s">
        <v>122</v>
      </c>
      <c r="I44" cm="1">
        <f t="array" ref="I44">VALUE(_xlfn.XLOOKUP(TRUE, ISNUMBER(SEARCH('Order table'!$B$3:$B$11,Final_table!B26)), 'Order table'!$C$3:$C$11))</f>
        <v>5</v>
      </c>
      <c r="J44">
        <v>8</v>
      </c>
    </row>
    <row r="45" spans="2:10" x14ac:dyDescent="0.25">
      <c r="B45" s="18" t="s">
        <v>35</v>
      </c>
      <c r="C45" s="18" t="s">
        <v>370</v>
      </c>
      <c r="D45" s="2" t="s">
        <v>371</v>
      </c>
      <c r="E45" s="1" t="s">
        <v>278</v>
      </c>
      <c r="F45" s="1" t="s">
        <v>278</v>
      </c>
      <c r="G45" s="1" t="s">
        <v>112</v>
      </c>
      <c r="H45" s="1" t="s">
        <v>126</v>
      </c>
      <c r="I45" cm="1">
        <f t="array" ref="I45">VALUE(_xlfn.XLOOKUP(TRUE, ISNUMBER(SEARCH('Order table'!$B$3:$B$11,Final_table!B27)), 'Order table'!$C$3:$C$11))</f>
        <v>5</v>
      </c>
      <c r="J45">
        <v>8</v>
      </c>
    </row>
    <row r="46" spans="2:10" x14ac:dyDescent="0.25">
      <c r="B46" s="18" t="s">
        <v>140</v>
      </c>
      <c r="C46" s="18" t="s">
        <v>378</v>
      </c>
      <c r="D46" s="2" t="s">
        <v>379</v>
      </c>
      <c r="E46" s="1" t="s">
        <v>278</v>
      </c>
      <c r="F46" s="1" t="s">
        <v>278</v>
      </c>
      <c r="G46" s="1" t="s">
        <v>139</v>
      </c>
      <c r="H46" s="1" t="s">
        <v>137</v>
      </c>
      <c r="I46" cm="1">
        <f t="array" ref="I46">VALUE(_xlfn.XLOOKUP(TRUE, ISNUMBER(SEARCH('Order table'!$B$3:$B$11,Final_table!B31)), 'Order table'!$C$3:$C$11))</f>
        <v>6</v>
      </c>
      <c r="J46">
        <v>8</v>
      </c>
    </row>
    <row r="47" spans="2:10" x14ac:dyDescent="0.25">
      <c r="B47" s="18" t="s">
        <v>50</v>
      </c>
      <c r="C47" s="18" t="s">
        <v>278</v>
      </c>
      <c r="D47" s="2" t="s">
        <v>403</v>
      </c>
      <c r="E47" s="1" t="s">
        <v>278</v>
      </c>
      <c r="F47" s="1" t="s">
        <v>278</v>
      </c>
      <c r="G47" s="1" t="s">
        <v>108</v>
      </c>
      <c r="H47" s="1" t="s">
        <v>122</v>
      </c>
      <c r="I47" cm="1">
        <f t="array" ref="I47">VALUE(_xlfn.XLOOKUP(TRUE, ISNUMBER(SEARCH('Order table'!$B$3:$B$11,Final_table!B45)), 'Order table'!$C$3:$C$11))</f>
        <v>8</v>
      </c>
      <c r="J47">
        <v>8</v>
      </c>
    </row>
    <row r="48" spans="2:10" x14ac:dyDescent="0.25">
      <c r="B48" s="18" t="s">
        <v>43</v>
      </c>
      <c r="C48" s="18" t="s">
        <v>391</v>
      </c>
      <c r="D48" s="2" t="s">
        <v>278</v>
      </c>
      <c r="E48" s="1" t="s">
        <v>278</v>
      </c>
      <c r="F48" s="1" t="s">
        <v>278</v>
      </c>
      <c r="G48" s="1" t="s">
        <v>133</v>
      </c>
      <c r="H48" s="1" t="s">
        <v>126</v>
      </c>
      <c r="I48" cm="1">
        <f t="array" ref="I48">VALUE(_xlfn.XLOOKUP(TRUE, ISNUMBER(SEARCH('Order table'!$B$3:$B$11,Final_table!B37)), 'Order table'!$C$3:$C$11))</f>
        <v>8</v>
      </c>
      <c r="J48">
        <v>8</v>
      </c>
    </row>
    <row r="49" spans="2:10" x14ac:dyDescent="0.25">
      <c r="B49" s="18" t="s">
        <v>45</v>
      </c>
      <c r="C49" s="18" t="s">
        <v>399</v>
      </c>
      <c r="D49" s="2" t="s">
        <v>400</v>
      </c>
      <c r="E49" s="1" t="s">
        <v>278</v>
      </c>
      <c r="F49" s="1" t="s">
        <v>278</v>
      </c>
      <c r="G49" s="1" t="s">
        <v>114</v>
      </c>
      <c r="H49" s="1" t="s">
        <v>125</v>
      </c>
      <c r="I49" cm="1">
        <f t="array" ref="I49">VALUE(_xlfn.XLOOKUP(TRUE, ISNUMBER(SEARCH('Order table'!$B$3:$B$11,Final_table!B42)), 'Order table'!$C$3:$C$11))</f>
        <v>8</v>
      </c>
      <c r="J49">
        <v>8</v>
      </c>
    </row>
    <row r="50" spans="2:10" x14ac:dyDescent="0.25">
      <c r="B50" s="18" t="s">
        <v>144</v>
      </c>
      <c r="C50" s="18" t="s">
        <v>396</v>
      </c>
      <c r="D50" s="2" t="s">
        <v>397</v>
      </c>
      <c r="E50" s="1" t="s">
        <v>278</v>
      </c>
      <c r="F50" s="1" t="s">
        <v>278</v>
      </c>
      <c r="G50" s="1" t="s">
        <v>142</v>
      </c>
      <c r="H50" s="1" t="s">
        <v>137</v>
      </c>
      <c r="I50" cm="1">
        <f t="array" ref="I50">VALUE(_xlfn.XLOOKUP(TRUE, ISNUMBER(SEARCH('Order table'!$B$3:$B$11,Final_table!B40)), 'Order table'!$C$3:$C$11))</f>
        <v>8</v>
      </c>
      <c r="J50">
        <v>8</v>
      </c>
    </row>
    <row r="51" spans="2:10" x14ac:dyDescent="0.25">
      <c r="B51" s="18" t="s">
        <v>55</v>
      </c>
      <c r="C51" s="18" t="s">
        <v>401</v>
      </c>
      <c r="D51" s="2" t="s">
        <v>402</v>
      </c>
      <c r="E51" s="1" t="s">
        <v>278</v>
      </c>
      <c r="F51" s="1" t="s">
        <v>278</v>
      </c>
      <c r="G51" s="1" t="s">
        <v>415</v>
      </c>
      <c r="H51" s="1" t="s">
        <v>122</v>
      </c>
      <c r="I51" cm="1">
        <f t="array" ref="I51">VALUE(_xlfn.XLOOKUP(TRUE, ISNUMBER(SEARCH('Order table'!$B$3:$B$11,Final_table!B44)), 'Order table'!$C$3:$C$11))</f>
        <v>8</v>
      </c>
      <c r="J51">
        <v>8</v>
      </c>
    </row>
    <row r="52" spans="2:10" x14ac:dyDescent="0.25">
      <c r="B52" s="18" t="s">
        <v>55</v>
      </c>
      <c r="C52" s="18" t="s">
        <v>405</v>
      </c>
      <c r="D52" s="2" t="s">
        <v>406</v>
      </c>
      <c r="E52" s="1" t="s">
        <v>278</v>
      </c>
      <c r="F52" s="1" t="s">
        <v>278</v>
      </c>
      <c r="G52" s="1" t="s">
        <v>415</v>
      </c>
      <c r="H52" s="1" t="s">
        <v>129</v>
      </c>
      <c r="I52" cm="1">
        <f t="array" ref="I52">VALUE(_xlfn.XLOOKUP(TRUE, ISNUMBER(SEARCH('Order table'!$B$3:$B$11,Final_table!B47)), 'Order table'!$C$3:$C$11))</f>
        <v>8</v>
      </c>
      <c r="J52">
        <v>8</v>
      </c>
    </row>
    <row r="53" spans="2:10" x14ac:dyDescent="0.25">
      <c r="B53" s="18" t="s">
        <v>40</v>
      </c>
      <c r="C53" s="18" t="s">
        <v>278</v>
      </c>
      <c r="D53" s="2" t="s">
        <v>390</v>
      </c>
      <c r="E53" s="1" t="s">
        <v>278</v>
      </c>
      <c r="F53" s="1" t="s">
        <v>278</v>
      </c>
      <c r="G53" s="1" t="s">
        <v>115</v>
      </c>
      <c r="H53" s="1" t="s">
        <v>124</v>
      </c>
      <c r="I53" cm="1">
        <f t="array" ref="I53">VALUE(_xlfn.XLOOKUP(TRUE, ISNUMBER(SEARCH('Order table'!$B$3:$B$11,Final_table!B51)), 'Order table'!$C$3:$C$11))</f>
        <v>8</v>
      </c>
      <c r="J53">
        <v>8</v>
      </c>
    </row>
    <row r="54" spans="2:10" x14ac:dyDescent="0.25">
      <c r="B54" s="18" t="s">
        <v>134</v>
      </c>
      <c r="C54" s="18" t="s">
        <v>419</v>
      </c>
      <c r="D54" s="2" t="s">
        <v>278</v>
      </c>
      <c r="E54" s="2"/>
      <c r="G54" s="2" t="s">
        <v>133</v>
      </c>
      <c r="H54" s="1" t="s">
        <v>137</v>
      </c>
      <c r="I54" s="1"/>
    </row>
    <row r="55" spans="2:10" x14ac:dyDescent="0.25">
      <c r="B55" s="18"/>
      <c r="C55" s="18"/>
      <c r="D55" s="2"/>
    </row>
    <row r="56" spans="2:10" x14ac:dyDescent="0.25">
      <c r="B56" s="18"/>
      <c r="D56"/>
      <c r="E56"/>
      <c r="F56"/>
      <c r="G56"/>
      <c r="H56"/>
    </row>
    <row r="57" spans="2:10" x14ac:dyDescent="0.25">
      <c r="B57" s="18"/>
      <c r="D57"/>
      <c r="E57"/>
      <c r="F57"/>
      <c r="G57"/>
      <c r="H57"/>
    </row>
    <row r="58" spans="2:10" x14ac:dyDescent="0.25">
      <c r="B58" s="18"/>
      <c r="D58"/>
      <c r="E58"/>
      <c r="F58"/>
      <c r="G58"/>
      <c r="H58"/>
    </row>
    <row r="59" spans="2:10" x14ac:dyDescent="0.25">
      <c r="B59" s="18"/>
      <c r="D59"/>
      <c r="E59"/>
      <c r="F59"/>
      <c r="G59"/>
      <c r="H59"/>
    </row>
    <row r="60" spans="2:10" x14ac:dyDescent="0.25">
      <c r="B60" s="18"/>
      <c r="D60"/>
      <c r="E60"/>
      <c r="F60"/>
      <c r="G60"/>
      <c r="H60"/>
    </row>
    <row r="61" spans="2:10" x14ac:dyDescent="0.25">
      <c r="B61" s="18"/>
      <c r="D61"/>
      <c r="E61"/>
      <c r="F61"/>
      <c r="G61"/>
      <c r="H61"/>
    </row>
    <row r="62" spans="2:10" x14ac:dyDescent="0.25">
      <c r="B62" s="18"/>
      <c r="D62"/>
      <c r="E62"/>
      <c r="F62"/>
      <c r="G62"/>
      <c r="H62"/>
    </row>
    <row r="63" spans="2:10" x14ac:dyDescent="0.25">
      <c r="B63" s="18"/>
      <c r="D63"/>
      <c r="E63"/>
      <c r="F63"/>
      <c r="G63"/>
      <c r="H63"/>
    </row>
    <row r="64" spans="2:10" x14ac:dyDescent="0.25">
      <c r="B64" s="18"/>
      <c r="D64"/>
      <c r="E64"/>
      <c r="F64"/>
      <c r="G64"/>
      <c r="H64"/>
    </row>
    <row r="65" spans="2:8" x14ac:dyDescent="0.25">
      <c r="B65" s="18"/>
      <c r="D65"/>
      <c r="E65"/>
      <c r="F65"/>
      <c r="G65"/>
      <c r="H65"/>
    </row>
    <row r="66" spans="2:8" x14ac:dyDescent="0.25">
      <c r="B66" s="18"/>
      <c r="D66"/>
      <c r="E66"/>
      <c r="F66"/>
      <c r="G66"/>
      <c r="H66"/>
    </row>
  </sheetData>
  <autoFilter ref="B1:J55" xr:uid="{D2E478A0-F7F1-45EA-B619-59512EA608A2}">
    <sortState xmlns:xlrd2="http://schemas.microsoft.com/office/spreadsheetml/2017/richdata2" ref="B2:J55">
      <sortCondition ref="J1:J55"/>
    </sortState>
  </autoFilter>
  <sortState xmlns:xlrd2="http://schemas.microsoft.com/office/spreadsheetml/2017/richdata2" ref="B2:J53">
    <sortCondition ref="I2:I53"/>
    <sortCondition ref="G2:G5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EAC8B-77D4-4441-B32C-6F7737B38AAA}">
  <dimension ref="A1:E12"/>
  <sheetViews>
    <sheetView workbookViewId="0">
      <selection sqref="A1:E11"/>
    </sheetView>
  </sheetViews>
  <sheetFormatPr defaultRowHeight="15" x14ac:dyDescent="0.25"/>
  <cols>
    <col min="1" max="1" width="30.28515625" bestFit="1" customWidth="1"/>
    <col min="2" max="2" width="15" bestFit="1" customWidth="1"/>
    <col min="3" max="3" width="13.85546875" bestFit="1" customWidth="1"/>
    <col min="4" max="4" width="15.42578125" bestFit="1" customWidth="1"/>
    <col min="5" max="5" width="29.140625" bestFit="1" customWidth="1"/>
  </cols>
  <sheetData>
    <row r="1" spans="1:5" ht="93.75" x14ac:dyDescent="0.25">
      <c r="A1" s="9" t="s">
        <v>420</v>
      </c>
      <c r="B1" s="25" t="s">
        <v>47</v>
      </c>
      <c r="C1" s="25" t="s">
        <v>5</v>
      </c>
      <c r="D1" s="9" t="s">
        <v>152</v>
      </c>
      <c r="E1" s="9" t="s">
        <v>280</v>
      </c>
    </row>
    <row r="2" spans="1:5" x14ac:dyDescent="0.25">
      <c r="A2" s="31" t="s">
        <v>442</v>
      </c>
      <c r="B2" s="31" t="s">
        <v>444</v>
      </c>
      <c r="C2" s="31" t="s">
        <v>443</v>
      </c>
      <c r="D2" s="31" t="s">
        <v>98</v>
      </c>
      <c r="E2" s="31" t="s">
        <v>445</v>
      </c>
    </row>
    <row r="3" spans="1:5" x14ac:dyDescent="0.25">
      <c r="A3" s="31" t="s">
        <v>429</v>
      </c>
      <c r="B3" s="5" t="s">
        <v>430</v>
      </c>
      <c r="C3" s="31"/>
      <c r="D3" s="31" t="s">
        <v>446</v>
      </c>
      <c r="E3" s="31" t="s">
        <v>431</v>
      </c>
    </row>
    <row r="4" spans="1:5" x14ac:dyDescent="0.25">
      <c r="A4" s="31" t="s">
        <v>422</v>
      </c>
      <c r="B4" s="31" t="s">
        <v>432</v>
      </c>
      <c r="C4" s="31" t="s">
        <v>433</v>
      </c>
      <c r="D4" s="31" t="s">
        <v>441</v>
      </c>
      <c r="E4" s="31" t="s">
        <v>423</v>
      </c>
    </row>
    <row r="5" spans="1:5" x14ac:dyDescent="0.25">
      <c r="A5" s="31" t="s">
        <v>434</v>
      </c>
      <c r="B5" s="31" t="s">
        <v>435</v>
      </c>
      <c r="C5" s="31"/>
      <c r="D5" s="31" t="s">
        <v>441</v>
      </c>
      <c r="E5" s="31"/>
    </row>
    <row r="6" spans="1:5" x14ac:dyDescent="0.25">
      <c r="A6" s="31" t="s">
        <v>447</v>
      </c>
      <c r="B6" s="5" t="s">
        <v>436</v>
      </c>
      <c r="C6" s="31" t="s">
        <v>437</v>
      </c>
      <c r="D6" s="31" t="s">
        <v>441</v>
      </c>
      <c r="E6" s="31"/>
    </row>
    <row r="7" spans="1:5" x14ac:dyDescent="0.25">
      <c r="A7" s="31" t="s">
        <v>424</v>
      </c>
      <c r="B7" s="31" t="s">
        <v>438</v>
      </c>
      <c r="C7" s="31" t="s">
        <v>427</v>
      </c>
      <c r="D7" s="31" t="s">
        <v>441</v>
      </c>
      <c r="E7" s="31"/>
    </row>
    <row r="8" spans="1:5" x14ac:dyDescent="0.25">
      <c r="A8" s="31" t="s">
        <v>425</v>
      </c>
      <c r="B8" s="31" t="s">
        <v>439</v>
      </c>
      <c r="C8" s="31" t="s">
        <v>440</v>
      </c>
      <c r="D8" s="31" t="s">
        <v>441</v>
      </c>
      <c r="E8" s="31"/>
    </row>
    <row r="9" spans="1:5" x14ac:dyDescent="0.25">
      <c r="A9" s="31" t="s">
        <v>428</v>
      </c>
      <c r="B9" s="31">
        <v>1807</v>
      </c>
      <c r="C9" s="31">
        <v>1787</v>
      </c>
      <c r="D9" s="31" t="s">
        <v>441</v>
      </c>
      <c r="E9" s="31" t="s">
        <v>423</v>
      </c>
    </row>
    <row r="10" spans="1:5" x14ac:dyDescent="0.25">
      <c r="A10" s="31" t="s">
        <v>421</v>
      </c>
      <c r="B10" s="31" t="s">
        <v>426</v>
      </c>
      <c r="C10" s="31"/>
      <c r="D10" s="31" t="s">
        <v>441</v>
      </c>
      <c r="E10" s="31" t="s">
        <v>423</v>
      </c>
    </row>
    <row r="11" spans="1:5" x14ac:dyDescent="0.25">
      <c r="A11" s="31" t="s">
        <v>134</v>
      </c>
      <c r="B11" s="31" t="s">
        <v>427</v>
      </c>
      <c r="C11" s="31">
        <v>1703</v>
      </c>
      <c r="D11" s="31" t="s">
        <v>441</v>
      </c>
      <c r="E11" s="31" t="s">
        <v>423</v>
      </c>
    </row>
    <row r="12" spans="1:5" x14ac:dyDescent="0.25">
      <c r="A12" s="31"/>
      <c r="B12" s="31"/>
      <c r="C12" s="31"/>
      <c r="D12" s="31"/>
      <c r="E12" s="3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DED9-E403-49D1-BDEA-5D06F441BDE7}">
  <dimension ref="B2:D11"/>
  <sheetViews>
    <sheetView workbookViewId="0">
      <selection activeCell="F40" sqref="F40"/>
    </sheetView>
  </sheetViews>
  <sheetFormatPr defaultRowHeight="15" x14ac:dyDescent="0.25"/>
  <cols>
    <col min="2" max="2" width="13.7109375" style="18" bestFit="1" customWidth="1"/>
    <col min="3" max="3" width="2" bestFit="1" customWidth="1"/>
  </cols>
  <sheetData>
    <row r="2" spans="2:4" x14ac:dyDescent="0.25">
      <c r="B2" s="20" t="s">
        <v>409</v>
      </c>
      <c r="C2" s="6" t="s">
        <v>410</v>
      </c>
    </row>
    <row r="3" spans="2:4" x14ac:dyDescent="0.25">
      <c r="B3" s="18" t="s">
        <v>273</v>
      </c>
      <c r="C3">
        <v>1</v>
      </c>
    </row>
    <row r="4" spans="2:4" x14ac:dyDescent="0.25">
      <c r="B4" s="18" t="s">
        <v>28</v>
      </c>
      <c r="C4">
        <v>2</v>
      </c>
    </row>
    <row r="5" spans="2:4" x14ac:dyDescent="0.25">
      <c r="B5" s="18" t="s">
        <v>413</v>
      </c>
      <c r="C5">
        <v>3</v>
      </c>
    </row>
    <row r="6" spans="2:4" x14ac:dyDescent="0.25">
      <c r="B6" s="18" t="s">
        <v>67</v>
      </c>
      <c r="C6">
        <v>4</v>
      </c>
      <c r="D6" s="18"/>
    </row>
    <row r="7" spans="2:4" x14ac:dyDescent="0.25">
      <c r="B7" s="18" t="s">
        <v>191</v>
      </c>
      <c r="C7">
        <v>5</v>
      </c>
    </row>
    <row r="8" spans="2:4" x14ac:dyDescent="0.25">
      <c r="B8" s="18" t="s">
        <v>7</v>
      </c>
      <c r="C8">
        <v>6</v>
      </c>
    </row>
    <row r="9" spans="2:4" x14ac:dyDescent="0.25">
      <c r="B9" s="18" t="s">
        <v>143</v>
      </c>
      <c r="C9">
        <v>7</v>
      </c>
    </row>
    <row r="10" spans="2:4" x14ac:dyDescent="0.25">
      <c r="B10" s="18" t="s">
        <v>408</v>
      </c>
      <c r="C10">
        <v>8</v>
      </c>
    </row>
    <row r="11" spans="2:4" x14ac:dyDescent="0.25">
      <c r="B11" s="18" t="s">
        <v>79</v>
      </c>
      <c r="C11">
        <f>+C8</f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CF453-66E8-4A60-86AF-FC3A9CB692B9}">
  <dimension ref="B1:J54"/>
  <sheetViews>
    <sheetView workbookViewId="0">
      <pane xSplit="1" ySplit="1" topLeftCell="B18" activePane="bottomRight" state="frozen"/>
      <selection pane="topRight" activeCell="C1" sqref="C1"/>
      <selection pane="bottomLeft" activeCell="A2" sqref="A2"/>
      <selection pane="bottomRight" activeCell="A31" sqref="A31:XFD31"/>
    </sheetView>
  </sheetViews>
  <sheetFormatPr defaultRowHeight="15" x14ac:dyDescent="0.25"/>
  <cols>
    <col min="2" max="2" width="10.42578125" style="20" bestFit="1" customWidth="1"/>
    <col min="3" max="3" width="34.5703125" style="18" bestFit="1" customWidth="1"/>
    <col min="4" max="4" width="16.140625" style="2" bestFit="1" customWidth="1"/>
    <col min="5" max="5" width="16.28515625" style="2" bestFit="1" customWidth="1"/>
    <col min="6" max="6" width="13.28515625" style="2" bestFit="1" customWidth="1"/>
    <col min="7" max="7" width="17.85546875" style="2" bestFit="1" customWidth="1"/>
    <col min="8" max="8" width="26" bestFit="1" customWidth="1"/>
    <col min="9" max="9" width="28.85546875" bestFit="1" customWidth="1"/>
  </cols>
  <sheetData>
    <row r="1" spans="2:10" s="16" customFormat="1" ht="132.75" x14ac:dyDescent="0.25">
      <c r="B1" s="27" t="s">
        <v>282</v>
      </c>
      <c r="C1" s="28" t="s">
        <v>92</v>
      </c>
      <c r="D1" s="26" t="s">
        <v>47</v>
      </c>
      <c r="E1" s="26" t="s">
        <v>5</v>
      </c>
      <c r="F1" s="26" t="s">
        <v>412</v>
      </c>
      <c r="G1" s="26" t="s">
        <v>247</v>
      </c>
      <c r="H1" s="25" t="s">
        <v>152</v>
      </c>
      <c r="I1" s="25" t="s">
        <v>280</v>
      </c>
      <c r="J1" s="26"/>
    </row>
    <row r="2" spans="2:10" x14ac:dyDescent="0.25">
      <c r="B2" s="19" t="s">
        <v>303</v>
      </c>
      <c r="C2" s="18" t="str">
        <f>_xlfn.XLOOKUP(B2,No_duplicates!$A$2:$A$110,No_duplicates!$B$2:$B$110,"")</f>
        <v>Pegmatite</v>
      </c>
      <c r="D2" s="2" t="str" cm="1">
        <f t="array" ref="D2">_xlfn.XLOOKUP(1,('Working table'!$B$2:$B$100=Xlookup_table!$B2)*('Working table'!$M$2:$M$100=Xlookup_table!D$1),'Working table'!$L$2:$L$100,"")</f>
        <v/>
      </c>
      <c r="E2" s="2" t="str" cm="1">
        <f t="array" ref="E2">_xlfn.XLOOKUP(1,('Working table'!$B$2:$B$100=Xlookup_table!$B2)*('Working table'!$M$2:$M$100=Xlookup_table!E$1),'Working table'!$L$2:$L$100,"")</f>
        <v>1766 ±1 (Xtm)</v>
      </c>
      <c r="F2" s="2" t="str" cm="1">
        <f t="array" ref="F2">_xlfn.XLOOKUP(1,('Working table'!$B$2:$B$98=Xlookup_table!$B2)*('Working table'!$M$2:$M$98=Xlookup_table!F$1),'Working table'!$L$2:$L$98,"")</f>
        <v/>
      </c>
      <c r="G2" s="2" t="str" cm="1">
        <f t="array" ref="G2">_xlfn.XLOOKUP(1,('Working table'!$B$2:$B$98=Xlookup_table!$B2)*('Working table'!$M$2:$M$98=Xlookup_table!G$1),'Working table'!$L$2:$L$98,"")</f>
        <v/>
      </c>
      <c r="H2" s="1" t="str">
        <f>_xlfn.XLOOKUP(B2,No_duplicates!$A$2:$A$110,No_duplicates!$C$2:$C$110,"")</f>
        <v>Dawn Lake</v>
      </c>
      <c r="I2" s="1" t="str">
        <f>IF(_xlfn.XLOOKUP(B2,No_duplicates!$A$2:$A$110,No_duplicates!$D$2:$D$110,"")=0,"",_xlfn.XLOOKUP(B2,No_duplicates!$A$2:$A$110,No_duplicates!$D$2:$D$110))</f>
        <v>Annesley et al. 1997</v>
      </c>
    </row>
    <row r="3" spans="2:10" x14ac:dyDescent="0.25">
      <c r="B3" s="19" t="s">
        <v>29</v>
      </c>
      <c r="C3" s="18" t="str">
        <f>_xlfn.XLOOKUP(B3,No_duplicates!$A$2:$A$110,No_duplicates!$B$2:$B$110,"")</f>
        <v>Calc-silicate vein</v>
      </c>
      <c r="D3" s="2" t="str" cm="1">
        <f t="array" ref="D3">_xlfn.XLOOKUP(1,('Working table'!$B$2:$B$100=Xlookup_table!$B3)*('Working table'!$M$2:$M$100=Xlookup_table!D$1),'Working table'!$L$2:$L$100,"")</f>
        <v/>
      </c>
      <c r="E3" s="2" t="str" cm="1">
        <f t="array" ref="E3">_xlfn.XLOOKUP(1,('Working table'!$B$2:$B$100=Xlookup_table!$B3)*('Working table'!$M$2:$M$100=Xlookup_table!E$1),'Working table'!$L$2:$L$100,"")</f>
        <v>1789 ±4 (Ttn)</v>
      </c>
      <c r="F3" s="2" t="str" cm="1">
        <f t="array" ref="F3">_xlfn.XLOOKUP(1,('Working table'!$B$2:$B$98=Xlookup_table!$B3)*('Working table'!$M$2:$M$98=Xlookup_table!F$1),'Working table'!$L$2:$L$98,"")</f>
        <v/>
      </c>
      <c r="G3" s="2" t="str" cm="1">
        <f t="array" ref="G3">_xlfn.XLOOKUP(1,('Working table'!$B$2:$B$98=Xlookup_table!$B3)*('Working table'!$M$2:$M$98=Xlookup_table!G$1),'Working table'!$L$2:$L$98,"")</f>
        <v/>
      </c>
      <c r="H3" s="1" t="str">
        <f>_xlfn.XLOOKUP(B3,No_duplicates!$A$2:$A$110,No_duplicates!$C$2:$C$110,"")</f>
        <v>Karpinka Lake</v>
      </c>
      <c r="I3" s="1" t="str">
        <f>IF(_xlfn.XLOOKUP(B3,No_duplicates!$A$2:$A$110,No_duplicates!$D$2:$D$110,"")=0,"",_xlfn.XLOOKUP(B3,No_duplicates!$A$2:$A$110,No_duplicates!$D$2:$D$110))</f>
        <v>Annesley et al. 1992</v>
      </c>
    </row>
    <row r="4" spans="2:10" x14ac:dyDescent="0.25">
      <c r="B4" s="19" t="s">
        <v>20</v>
      </c>
      <c r="C4" s="18" t="str">
        <f>_xlfn.XLOOKUP(B4,No_duplicates!$A$2:$A$110,No_duplicates!$B$2:$B$110,"")</f>
        <v>Calc-silicate Gneiss</v>
      </c>
      <c r="D4" s="2" t="str" cm="1">
        <f t="array" ref="D4">_xlfn.XLOOKUP(1,('Working table'!$B$2:$B$100=Xlookup_table!$B4)*('Working table'!$M$2:$M$100=Xlookup_table!D$1),'Working table'!$L$2:$L$100,"")</f>
        <v/>
      </c>
      <c r="E4" s="2" t="str" cm="1">
        <f t="array" ref="E4">_xlfn.XLOOKUP(1,('Working table'!$B$2:$B$100=Xlookup_table!$B4)*('Working table'!$M$2:$M$100=Xlookup_table!E$1),'Working table'!$L$2:$L$100,"")</f>
        <v>1783 ±4 (Ttn)</v>
      </c>
      <c r="F4" s="2" t="str" cm="1">
        <f t="array" ref="F4">_xlfn.XLOOKUP(1,('Working table'!$B$2:$B$98=Xlookup_table!$B4)*('Working table'!$M$2:$M$98=Xlookup_table!F$1),'Working table'!$L$2:$L$98,"")</f>
        <v/>
      </c>
      <c r="G4" s="2" t="str" cm="1">
        <f t="array" ref="G4">_xlfn.XLOOKUP(1,('Working table'!$B$2:$B$98=Xlookup_table!$B4)*('Working table'!$M$2:$M$98=Xlookup_table!G$1),'Working table'!$L$2:$L$98,"")</f>
        <v/>
      </c>
      <c r="H4" s="1" t="str">
        <f>_xlfn.XLOOKUP(B4,No_duplicates!$A$2:$A$110,No_duplicates!$C$2:$C$110,"")</f>
        <v>Karpinka Lake</v>
      </c>
      <c r="I4" s="1" t="str">
        <f>IF(_xlfn.XLOOKUP(B4,No_duplicates!$A$2:$A$110,No_duplicates!$D$2:$D$110,"")=0,"",_xlfn.XLOOKUP(B4,No_duplicates!$A$2:$A$110,No_duplicates!$D$2:$D$110))</f>
        <v>Annesley et al. 1997</v>
      </c>
    </row>
    <row r="5" spans="2:10" x14ac:dyDescent="0.25">
      <c r="B5" s="19" t="s">
        <v>6</v>
      </c>
      <c r="C5" s="18" t="str">
        <f>_xlfn.XLOOKUP(B5,No_duplicates!$A$2:$A$110,No_duplicates!$B$2:$B$110,"")</f>
        <v>Monzogabbro</v>
      </c>
      <c r="D5" s="2" t="str" cm="1">
        <f t="array" ref="D5">_xlfn.XLOOKUP(1,('Working table'!$B$2:$B$100=Xlookup_table!$B5)*('Working table'!$M$2:$M$100=Xlookup_table!D$1),'Working table'!$L$2:$L$100,"")</f>
        <v>1828 ±3 (Ttn)</v>
      </c>
      <c r="E5" s="2" t="str" cm="1">
        <f t="array" ref="E5">_xlfn.XLOOKUP(1,('Working table'!$B$2:$B$100=Xlookup_table!$B5)*('Working table'!$M$2:$M$100=Xlookup_table!E$1),'Working table'!$L$2:$L$100,"")</f>
        <v/>
      </c>
      <c r="F5" s="2" t="str" cm="1">
        <f t="array" ref="F5">_xlfn.XLOOKUP(1,('Working table'!$B$2:$B$98=Xlookup_table!$B5)*('Working table'!$M$2:$M$98=Xlookup_table!F$1),'Working table'!$L$2:$L$98,"")</f>
        <v/>
      </c>
      <c r="G5" s="2" t="str" cm="1">
        <f t="array" ref="G5">_xlfn.XLOOKUP(1,('Working table'!$B$2:$B$98=Xlookup_table!$B5)*('Working table'!$M$2:$M$98=Xlookup_table!G$1),'Working table'!$L$2:$L$98,"")</f>
        <v/>
      </c>
      <c r="H5" s="1" t="str">
        <f>_xlfn.XLOOKUP(B5,No_duplicates!$A$2:$A$110,No_duplicates!$C$2:$C$110,"")</f>
        <v>Karpinka Lake</v>
      </c>
      <c r="I5" s="1" t="str">
        <f>IF(_xlfn.XLOOKUP(B5,No_duplicates!$A$2:$A$110,No_duplicates!$D$2:$D$110,"")=0,"",_xlfn.XLOOKUP(B5,No_duplicates!$A$2:$A$110,No_duplicates!$D$2:$D$110))</f>
        <v>Annesley et al. 1993</v>
      </c>
    </row>
    <row r="6" spans="2:10" x14ac:dyDescent="0.25">
      <c r="B6" s="19" t="s">
        <v>25</v>
      </c>
      <c r="C6" s="18" t="str">
        <f>_xlfn.XLOOKUP(B6,No_duplicates!$A$2:$A$110,No_duplicates!$B$2:$B$110,"")</f>
        <v>Mylonitic Tonalitic Gneiss</v>
      </c>
      <c r="D6" s="2" t="str" cm="1">
        <f t="array" ref="D6">_xlfn.XLOOKUP(1,('Working table'!$B$2:$B$100=Xlookup_table!$B6)*('Working table'!$M$2:$M$100=Xlookup_table!D$1),'Working table'!$L$2:$L$100,"")</f>
        <v>2733 ±9 (Xtm)</v>
      </c>
      <c r="E6" s="2" t="str" cm="1">
        <f t="array" ref="E6">_xlfn.XLOOKUP(1,('Working table'!$B$2:$B$100=Xlookup_table!$B6)*('Working table'!$M$2:$M$100=Xlookup_table!E$1),'Working table'!$L$2:$L$100,"")</f>
        <v/>
      </c>
      <c r="F6" s="2" t="str" cm="1">
        <f t="array" ref="F6">_xlfn.XLOOKUP(1,('Working table'!$B$2:$B$98=Xlookup_table!$B6)*('Working table'!$M$2:$M$98=Xlookup_table!F$1),'Working table'!$L$2:$L$98,"")</f>
        <v/>
      </c>
      <c r="G6" s="2" t="str" cm="1">
        <f t="array" ref="G6">_xlfn.XLOOKUP(1,('Working table'!$B$2:$B$98=Xlookup_table!$B6)*('Working table'!$M$2:$M$98=Xlookup_table!G$1),'Working table'!$L$2:$L$98,"")</f>
        <v/>
      </c>
      <c r="H6" s="1" t="str">
        <f>_xlfn.XLOOKUP(B6,No_duplicates!$A$2:$A$110,No_duplicates!$C$2:$C$110,"")</f>
        <v>Karpinka Lake</v>
      </c>
      <c r="I6" s="1" t="str">
        <f>IF(_xlfn.XLOOKUP(B6,No_duplicates!$A$2:$A$110,No_duplicates!$D$2:$D$110,"")=0,"",_xlfn.XLOOKUP(B6,No_duplicates!$A$2:$A$110,No_duplicates!$D$2:$D$110))</f>
        <v>Annesley et al. 1992</v>
      </c>
    </row>
    <row r="7" spans="2:10" x14ac:dyDescent="0.25">
      <c r="B7" s="19" t="s">
        <v>73</v>
      </c>
      <c r="C7" s="18" t="str">
        <f>_xlfn.XLOOKUP(B7,No_duplicates!$A$2:$A$110,No_duplicates!$B$2:$B$110,"")</f>
        <v>Porphyritic Granite</v>
      </c>
      <c r="D7" s="2" t="str" cm="1">
        <f t="array" ref="D7">_xlfn.XLOOKUP(1,('Working table'!$B$2:$B$100=Xlookup_table!$B7)*('Working table'!$M$2:$M$100=Xlookup_table!D$1),'Working table'!$L$2:$L$100,"")</f>
        <v>1815 ±2 (Xtm)</v>
      </c>
      <c r="E7" s="2" t="str" cm="1">
        <f t="array" ref="E7">_xlfn.XLOOKUP(1,('Working table'!$B$2:$B$100=Xlookup_table!$B7)*('Working table'!$M$2:$M$100=Xlookup_table!E$1),'Working table'!$L$2:$L$100,"")</f>
        <v>1788 ±2 (Xtm)</v>
      </c>
      <c r="F7" s="2" t="str" cm="1">
        <f t="array" ref="F7">_xlfn.XLOOKUP(1,('Working table'!$B$2:$B$98=Xlookup_table!$B7)*('Working table'!$M$2:$M$98=Xlookup_table!F$1),'Working table'!$L$2:$L$98,"")</f>
        <v/>
      </c>
      <c r="G7" s="2" t="str" cm="1">
        <f t="array" ref="G7">_xlfn.XLOOKUP(1,('Working table'!$B$2:$B$98=Xlookup_table!$B7)*('Working table'!$M$2:$M$98=Xlookup_table!G$1),'Working table'!$L$2:$L$98,"")</f>
        <v/>
      </c>
      <c r="H7" s="1" t="str">
        <f>_xlfn.XLOOKUP(B7,No_duplicates!$A$2:$A$110,No_duplicates!$C$2:$C$110,"")</f>
        <v>Hidden Bay</v>
      </c>
      <c r="I7" s="1" t="str">
        <f>IF(_xlfn.XLOOKUP(B7,No_duplicates!$A$2:$A$110,No_duplicates!$D$2:$D$110,"")=0,"",_xlfn.XLOOKUP(B7,No_duplicates!$A$2:$A$110,No_duplicates!$D$2:$D$110))</f>
        <v>Annesley et al. 1992</v>
      </c>
    </row>
    <row r="8" spans="2:10" x14ac:dyDescent="0.25">
      <c r="B8" s="19" t="s">
        <v>74</v>
      </c>
      <c r="C8" s="18" t="str">
        <f>_xlfn.XLOOKUP(B8,No_duplicates!$A$2:$A$110,No_duplicates!$B$2:$B$110,"")</f>
        <v>Pelitic Gneiss</v>
      </c>
      <c r="D8" s="2" t="str" cm="1">
        <f t="array" ref="D8">_xlfn.XLOOKUP(1,('Working table'!$B$2:$B$100=Xlookup_table!$B8)*('Working table'!$M$2:$M$100=Xlookup_table!D$1),'Working table'!$L$2:$L$100,"")</f>
        <v/>
      </c>
      <c r="E8" s="2" t="str" cm="1">
        <f t="array" ref="E8">_xlfn.XLOOKUP(1,('Working table'!$B$2:$B$100=Xlookup_table!$B8)*('Working table'!$M$2:$M$100=Xlookup_table!E$1),'Working table'!$L$2:$L$100,"")</f>
        <v>1812 ±2 (Xtm)</v>
      </c>
      <c r="F8" s="2" t="str" cm="1">
        <f t="array" ref="F8">_xlfn.XLOOKUP(1,('Working table'!$B$2:$B$98=Xlookup_table!$B8)*('Working table'!$M$2:$M$98=Xlookup_table!F$1),'Working table'!$L$2:$L$98,"")</f>
        <v/>
      </c>
      <c r="G8" s="2" t="str" cm="1">
        <f t="array" ref="G8">_xlfn.XLOOKUP(1,('Working table'!$B$2:$B$98=Xlookup_table!$B8)*('Working table'!$M$2:$M$98=Xlookup_table!G$1),'Working table'!$L$2:$L$98,"")</f>
        <v/>
      </c>
      <c r="H8" s="1" t="str">
        <f>_xlfn.XLOOKUP(B8,No_duplicates!$A$2:$A$110,No_duplicates!$C$2:$C$110,"")</f>
        <v>Hidden Bay</v>
      </c>
      <c r="I8" s="1" t="str">
        <f>IF(_xlfn.XLOOKUP(B8,No_duplicates!$A$2:$A$110,No_duplicates!$D$2:$D$110,"")=0,"",_xlfn.XLOOKUP(B8,No_duplicates!$A$2:$A$110,No_duplicates!$D$2:$D$110))</f>
        <v>Annesley et al. 1992</v>
      </c>
    </row>
    <row r="9" spans="2:10" x14ac:dyDescent="0.25">
      <c r="B9" s="19" t="s">
        <v>69</v>
      </c>
      <c r="C9" s="18" t="str">
        <f>_xlfn.XLOOKUP(B9,No_duplicates!$A$2:$A$110,No_duplicates!$B$2:$B$110,"")</f>
        <v>Granodioritic Gneiss</v>
      </c>
      <c r="D9" s="2" t="str" cm="1">
        <f t="array" ref="D9">_xlfn.XLOOKUP(1,('Working table'!$B$2:$B$100=Xlookup_table!$B9)*('Working table'!$M$2:$M$100=Xlookup_table!D$1),'Working table'!$L$2:$L$100,"")</f>
        <v>2620 ±10 (Xtm)</v>
      </c>
      <c r="E9" s="2" t="str" cm="1">
        <f t="array" ref="E9">_xlfn.XLOOKUP(1,('Working table'!$B$2:$B$100=Xlookup_table!$B9)*('Working table'!$M$2:$M$100=Xlookup_table!E$1),'Working table'!$L$2:$L$100,"")</f>
        <v>1798 ±14 (Xtm)</v>
      </c>
      <c r="F9" s="2" t="str" cm="1">
        <f t="array" ref="F9">_xlfn.XLOOKUP(1,('Working table'!$B$2:$B$98=Xlookup_table!$B9)*('Working table'!$M$2:$M$98=Xlookup_table!F$1),'Working table'!$L$2:$L$98,"")</f>
        <v/>
      </c>
      <c r="G9" s="2" t="str" cm="1">
        <f t="array" ref="G9">_xlfn.XLOOKUP(1,('Working table'!$B$2:$B$98=Xlookup_table!$B9)*('Working table'!$M$2:$M$98=Xlookup_table!G$1),'Working table'!$L$2:$L$98,"")</f>
        <v/>
      </c>
      <c r="H9" s="1" t="str">
        <f>_xlfn.XLOOKUP(B9,No_duplicates!$A$2:$A$110,No_duplicates!$C$2:$C$110,"")</f>
        <v>SE Rabbit Lake</v>
      </c>
      <c r="I9" s="1" t="str">
        <f>IF(_xlfn.XLOOKUP(B9,No_duplicates!$A$2:$A$110,No_duplicates!$D$2:$D$110,"")=0,"",_xlfn.XLOOKUP(B9,No_duplicates!$A$2:$A$110,No_duplicates!$D$2:$D$110))</f>
        <v>Annesley et al. 1992</v>
      </c>
    </row>
    <row r="10" spans="2:10" x14ac:dyDescent="0.25">
      <c r="B10" s="19" t="s">
        <v>85</v>
      </c>
      <c r="C10" s="18" t="str">
        <f>_xlfn.XLOOKUP(B10,No_duplicates!$A$2:$A$110,No_duplicates!$B$2:$B$110,"")</f>
        <v>Tonalitic Gneiss</v>
      </c>
      <c r="D10" s="2" t="str" cm="1">
        <f t="array" ref="D10">_xlfn.XLOOKUP(1,('Working table'!$B$2:$B$100=Xlookup_table!$B10)*('Working table'!$M$2:$M$100=Xlookup_table!D$1),'Working table'!$L$2:$L$100,"")</f>
        <v>2689 ±19 (Xtm)</v>
      </c>
      <c r="E10" s="2" t="str" cm="1">
        <f t="array" ref="E10">_xlfn.XLOOKUP(1,('Working table'!$B$2:$B$100=Xlookup_table!$B10)*('Working table'!$M$2:$M$100=Xlookup_table!E$1),'Working table'!$L$2:$L$100,"")</f>
        <v>1778 ±2 (Xtm)</v>
      </c>
      <c r="F10" s="2" t="str" cm="1">
        <f t="array" ref="F10">_xlfn.XLOOKUP(1,('Working table'!$B$2:$B$98=Xlookup_table!$B10)*('Working table'!$M$2:$M$98=Xlookup_table!F$1),'Working table'!$L$2:$L$98,"")</f>
        <v/>
      </c>
      <c r="G10" s="2" t="str" cm="1">
        <f t="array" ref="G10">_xlfn.XLOOKUP(1,('Working table'!$B$2:$B$98=Xlookup_table!$B10)*('Working table'!$M$2:$M$98=Xlookup_table!G$1),'Working table'!$L$2:$L$98,"")</f>
        <v/>
      </c>
      <c r="H10" s="1" t="str">
        <f>_xlfn.XLOOKUP(B10,No_duplicates!$A$2:$A$110,No_duplicates!$C$2:$C$110,"")</f>
        <v>Ashley Peninsula</v>
      </c>
      <c r="I10" s="1" t="str">
        <f>IF(_xlfn.XLOOKUP(B10,No_duplicates!$A$2:$A$110,No_duplicates!$D$2:$D$110,"")=0,"",_xlfn.XLOOKUP(B10,No_duplicates!$A$2:$A$110,No_duplicates!$D$2:$D$110))</f>
        <v>Annesley et al. 1991</v>
      </c>
    </row>
    <row r="11" spans="2:10" x14ac:dyDescent="0.25">
      <c r="B11" s="19" t="s">
        <v>83</v>
      </c>
      <c r="C11" s="18" t="str">
        <f>_xlfn.XLOOKUP(B11,No_duplicates!$A$2:$A$110,No_duplicates!$B$2:$B$110,"")</f>
        <v>Quartz Dioritic Gneiss</v>
      </c>
      <c r="D11" s="2" t="str" cm="1">
        <f t="array" ref="D11">_xlfn.XLOOKUP(1,('Working table'!$B$2:$B$100=Xlookup_table!$B11)*('Working table'!$M$2:$M$100=Xlookup_table!D$1),'Working table'!$L$2:$L$100,"")</f>
        <v>2638 ±65 (Xtm)</v>
      </c>
      <c r="E11" s="2" t="str" cm="1">
        <f t="array" ref="E11">_xlfn.XLOOKUP(1,('Working table'!$B$2:$B$100=Xlookup_table!$B11)*('Working table'!$M$2:$M$100=Xlookup_table!E$1),'Working table'!$L$2:$L$100,"")</f>
        <v>1779 ±2 (Xtm)</v>
      </c>
      <c r="F11" s="2" t="str" cm="1">
        <f t="array" ref="F11">_xlfn.XLOOKUP(1,('Working table'!$B$2:$B$98=Xlookup_table!$B11)*('Working table'!$M$2:$M$98=Xlookup_table!F$1),'Working table'!$L$2:$L$98,"")</f>
        <v/>
      </c>
      <c r="G11" s="2" t="str" cm="1">
        <f t="array" ref="G11">_xlfn.XLOOKUP(1,('Working table'!$B$2:$B$98=Xlookup_table!$B11)*('Working table'!$M$2:$M$98=Xlookup_table!G$1),'Working table'!$L$2:$L$98,"")</f>
        <v/>
      </c>
      <c r="H11" s="1" t="str">
        <f>_xlfn.XLOOKUP(B11,No_duplicates!$A$2:$A$110,No_duplicates!$C$2:$C$110,"")</f>
        <v>Ashley Peninsula</v>
      </c>
      <c r="I11" s="1" t="str">
        <f>IF(_xlfn.XLOOKUP(B11,No_duplicates!$A$2:$A$110,No_duplicates!$D$2:$D$110,"")=0,"",_xlfn.XLOOKUP(B11,No_duplicates!$A$2:$A$110,No_duplicates!$D$2:$D$110))</f>
        <v>Annesley et al. 1992</v>
      </c>
    </row>
    <row r="12" spans="2:10" x14ac:dyDescent="0.25">
      <c r="B12" s="19" t="s">
        <v>76</v>
      </c>
      <c r="C12" s="18" t="str">
        <f>_xlfn.XLOOKUP(B12,No_duplicates!$A$2:$A$110,No_duplicates!$B$2:$B$110,"")</f>
        <v>Grey Granite (sheared)</v>
      </c>
      <c r="D12" s="2" t="str" cm="1">
        <f t="array" ref="D12">_xlfn.XLOOKUP(1,('Working table'!$B$2:$B$100=Xlookup_table!$B12)*('Working table'!$M$2:$M$100=Xlookup_table!D$1),'Working table'!$L$2:$L$100,"")</f>
        <v/>
      </c>
      <c r="E12" s="2" t="str" cm="1">
        <f t="array" ref="E12">_xlfn.XLOOKUP(1,('Working table'!$B$2:$B$100=Xlookup_table!$B12)*('Working table'!$M$2:$M$100=Xlookup_table!E$1),'Working table'!$L$2:$L$100,"")</f>
        <v>1719 ±1 (Xtm)</v>
      </c>
      <c r="F12" s="2" t="str" cm="1">
        <f t="array" ref="F12">_xlfn.XLOOKUP(1,('Working table'!$B$2:$B$98=Xlookup_table!$B12)*('Working table'!$M$2:$M$98=Xlookup_table!F$1),'Working table'!$L$2:$L$98,"")</f>
        <v/>
      </c>
      <c r="G12" s="2" t="str" cm="1">
        <f t="array" ref="G12">_xlfn.XLOOKUP(1,('Working table'!$B$2:$B$98=Xlookup_table!$B12)*('Working table'!$M$2:$M$98=Xlookup_table!G$1),'Working table'!$L$2:$L$98,"")</f>
        <v/>
      </c>
      <c r="H12" s="1" t="str">
        <f>_xlfn.XLOOKUP(B12,No_duplicates!$A$2:$A$110,No_duplicates!$C$2:$C$110,"")</f>
        <v>Hidden Bay</v>
      </c>
      <c r="I12" s="1" t="str">
        <f>IF(_xlfn.XLOOKUP(B12,No_duplicates!$A$2:$A$110,No_duplicates!$D$2:$D$110,"")=0,"",_xlfn.XLOOKUP(B12,No_duplicates!$A$2:$A$110,No_duplicates!$D$2:$D$110))</f>
        <v/>
      </c>
    </row>
    <row r="13" spans="2:10" x14ac:dyDescent="0.25">
      <c r="B13" s="19" t="s">
        <v>78</v>
      </c>
      <c r="C13" s="18" t="str">
        <f>_xlfn.XLOOKUP(B13,No_duplicates!$A$2:$A$110,No_duplicates!$B$2:$B$110,"")</f>
        <v>Meta-gabbro</v>
      </c>
      <c r="D13" s="2" t="str" cm="1">
        <f t="array" ref="D13">_xlfn.XLOOKUP(1,('Working table'!$B$2:$B$100=Xlookup_table!$B13)*('Working table'!$M$2:$M$100=Xlookup_table!D$1),'Working table'!$L$2:$L$100,"")</f>
        <v>1820 ±5 (Xtm)</v>
      </c>
      <c r="E13" s="2" t="str" cm="1">
        <f t="array" ref="E13">_xlfn.XLOOKUP(1,('Working table'!$B$2:$B$100=Xlookup_table!$B13)*('Working table'!$M$2:$M$100=Xlookup_table!E$1),'Working table'!$L$2:$L$100,"")</f>
        <v/>
      </c>
      <c r="F13" s="2" t="str" cm="1">
        <f t="array" ref="F13">_xlfn.XLOOKUP(1,('Working table'!$B$2:$B$98=Xlookup_table!$B13)*('Working table'!$M$2:$M$98=Xlookup_table!F$1),'Working table'!$L$2:$L$98,"")</f>
        <v/>
      </c>
      <c r="G13" s="2" t="str" cm="1">
        <f t="array" ref="G13">_xlfn.XLOOKUP(1,('Working table'!$B$2:$B$98=Xlookup_table!$B13)*('Working table'!$M$2:$M$98=Xlookup_table!G$1),'Working table'!$L$2:$L$98,"")</f>
        <v/>
      </c>
      <c r="H13" s="1" t="str">
        <f>_xlfn.XLOOKUP(B13,No_duplicates!$A$2:$A$110,No_duplicates!$C$2:$C$110,"")</f>
        <v>Hidden Bay</v>
      </c>
      <c r="I13" s="1" t="str">
        <f>IF(_xlfn.XLOOKUP(B13,No_duplicates!$A$2:$A$110,No_duplicates!$D$2:$D$110,"")=0,"",_xlfn.XLOOKUP(B13,No_duplicates!$A$2:$A$110,No_duplicates!$D$2:$D$110))</f>
        <v>Annesley et al. 1992</v>
      </c>
    </row>
    <row r="14" spans="2:10" x14ac:dyDescent="0.25">
      <c r="B14" s="19" t="s">
        <v>11</v>
      </c>
      <c r="C14" s="18" t="str">
        <f>_xlfn.XLOOKUP(B14,No_duplicates!$A$2:$A$110,No_duplicates!$B$2:$B$110,"")</f>
        <v>Calc-silicate Gneiss</v>
      </c>
      <c r="D14" s="2" t="str" cm="1">
        <f t="array" ref="D14">_xlfn.XLOOKUP(1,('Working table'!$B$2:$B$100=Xlookup_table!$B14)*('Working table'!$M$2:$M$100=Xlookup_table!D$1),'Working table'!$L$2:$L$100,"")</f>
        <v/>
      </c>
      <c r="E14" s="2" t="str" cm="1">
        <f t="array" ref="E14">_xlfn.XLOOKUP(1,('Working table'!$B$2:$B$100=Xlookup_table!$B14)*('Working table'!$M$2:$M$100=Xlookup_table!E$1),'Working table'!$L$2:$L$100,"")</f>
        <v>1796 ±4 (Xtm)</v>
      </c>
      <c r="F14" s="2" t="str" cm="1">
        <f t="array" ref="F14">_xlfn.XLOOKUP(1,('Working table'!$B$2:$B$98=Xlookup_table!$B14)*('Working table'!$M$2:$M$98=Xlookup_table!F$1),'Working table'!$L$2:$L$98,"")</f>
        <v/>
      </c>
      <c r="G14" s="2" t="str" cm="1">
        <f t="array" ref="G14">_xlfn.XLOOKUP(1,('Working table'!$B$2:$B$98=Xlookup_table!$B14)*('Working table'!$M$2:$M$98=Xlookup_table!G$1),'Working table'!$L$2:$L$98,"")</f>
        <v/>
      </c>
      <c r="H14" s="1" t="str">
        <f>_xlfn.XLOOKUP(B14,No_duplicates!$A$2:$A$110,No_duplicates!$C$2:$C$110,"")</f>
        <v>Karpinka Lake</v>
      </c>
      <c r="I14" s="1" t="str">
        <f>IF(_xlfn.XLOOKUP(B14,No_duplicates!$A$2:$A$110,No_duplicates!$D$2:$D$110,"")=0,"",_xlfn.XLOOKUP(B14,No_duplicates!$A$2:$A$110,No_duplicates!$D$2:$D$110))</f>
        <v>Annesley et al. 1997</v>
      </c>
    </row>
    <row r="15" spans="2:10" x14ac:dyDescent="0.25">
      <c r="B15" s="19" t="s">
        <v>1</v>
      </c>
      <c r="C15" s="18" t="str">
        <f>_xlfn.XLOOKUP(B15,No_duplicates!$A$2:$A$110,No_duplicates!$B$2:$B$110,"")</f>
        <v>Granodioritic Gneiss</v>
      </c>
      <c r="D15" s="2" t="str" cm="1">
        <f t="array" ref="D15">_xlfn.XLOOKUP(1,('Working table'!$B$2:$B$100=Xlookup_table!$B15)*('Working table'!$M$2:$M$100=Xlookup_table!D$1),'Working table'!$L$2:$L$100,"")</f>
        <v/>
      </c>
      <c r="E15" s="2" t="str" cm="1">
        <f t="array" ref="E15">_xlfn.XLOOKUP(1,('Working table'!$B$2:$B$100=Xlookup_table!$B15)*('Working table'!$M$2:$M$100=Xlookup_table!E$1),'Working table'!$L$2:$L$100,"")</f>
        <v>1792 ±4 (Xtm)</v>
      </c>
      <c r="F15" s="2" t="str" cm="1">
        <f t="array" ref="F15">_xlfn.XLOOKUP(1,('Working table'!$B$2:$B$98=Xlookup_table!$B15)*('Working table'!$M$2:$M$98=Xlookup_table!F$1),'Working table'!$L$2:$L$98,"")</f>
        <v/>
      </c>
      <c r="G15" s="2" t="str" cm="1">
        <f t="array" ref="G15">_xlfn.XLOOKUP(1,('Working table'!$B$2:$B$98=Xlookup_table!$B15)*('Working table'!$M$2:$M$98=Xlookup_table!G$1),'Working table'!$L$2:$L$98,"")</f>
        <v/>
      </c>
      <c r="H15" s="1" t="str">
        <f>_xlfn.XLOOKUP(B15,No_duplicates!$A$2:$A$110,No_duplicates!$C$2:$C$110,"")</f>
        <v>Karpinka Lake</v>
      </c>
      <c r="I15" s="1" t="str">
        <f>IF(_xlfn.XLOOKUP(B15,No_duplicates!$A$2:$A$110,No_duplicates!$D$2:$D$110,"")=0,"",_xlfn.XLOOKUP(B15,No_duplicates!$A$2:$A$110,No_duplicates!$D$2:$D$110))</f>
        <v>Annesley et al. 1997</v>
      </c>
    </row>
    <row r="16" spans="2:10" x14ac:dyDescent="0.25">
      <c r="B16" s="19" t="s">
        <v>21</v>
      </c>
      <c r="C16" s="18" t="str">
        <f>_xlfn.XLOOKUP(B16,No_duplicates!$A$2:$A$110,No_duplicates!$B$2:$B$110,"")</f>
        <v>Silicified granitic Gneiss</v>
      </c>
      <c r="D16" s="2" t="str" cm="1">
        <f t="array" ref="D16">_xlfn.XLOOKUP(1,('Working table'!$B$2:$B$100=Xlookup_table!$B16)*('Working table'!$M$2:$M$100=Xlookup_table!D$1),'Working table'!$L$2:$L$100,"")</f>
        <v>2594 ±10 (Xtm)</v>
      </c>
      <c r="E16" s="2" t="str" cm="1">
        <f t="array" ref="E16">_xlfn.XLOOKUP(1,('Working table'!$B$2:$B$100=Xlookup_table!$B16)*('Working table'!$M$2:$M$100=Xlookup_table!E$1),'Working table'!$L$2:$L$100,"")</f>
        <v>1806 ±2 (Xtm)</v>
      </c>
      <c r="F16" s="2" t="str" cm="1">
        <f t="array" ref="F16">_xlfn.XLOOKUP(1,('Working table'!$B$2:$B$98=Xlookup_table!$B16)*('Working table'!$M$2:$M$98=Xlookup_table!F$1),'Working table'!$L$2:$L$98,"")</f>
        <v/>
      </c>
      <c r="G16" s="2" t="str" cm="1">
        <f t="array" ref="G16">_xlfn.XLOOKUP(1,('Working table'!$B$2:$B$98=Xlookup_table!$B16)*('Working table'!$M$2:$M$98=Xlookup_table!G$1),'Working table'!$L$2:$L$98,"")</f>
        <v/>
      </c>
      <c r="H16" s="1" t="str">
        <f>_xlfn.XLOOKUP(B16,No_duplicates!$A$2:$A$110,No_duplicates!$C$2:$C$110,"")</f>
        <v>Karpinka Lake</v>
      </c>
      <c r="I16" s="1" t="str">
        <f>IF(_xlfn.XLOOKUP(B16,No_duplicates!$A$2:$A$110,No_duplicates!$D$2:$D$110,"")=0,"",_xlfn.XLOOKUP(B16,No_duplicates!$A$2:$A$110,No_duplicates!$D$2:$D$110))</f>
        <v>Annesley et al. 1997</v>
      </c>
    </row>
    <row r="17" spans="2:9" x14ac:dyDescent="0.25">
      <c r="B17" s="19" t="s">
        <v>23</v>
      </c>
      <c r="C17" s="18" t="str">
        <f>_xlfn.XLOOKUP(B17,No_duplicates!$A$2:$A$110,No_duplicates!$B$2:$B$110,"")</f>
        <v>Metasomatized Orthogneiss</v>
      </c>
      <c r="D17" s="2" t="str" cm="1">
        <f t="array" ref="D17">_xlfn.XLOOKUP(1,('Working table'!$B$2:$B$100=Xlookup_table!$B17)*('Working table'!$M$2:$M$100=Xlookup_table!D$1),'Working table'!$L$2:$L$100,"")</f>
        <v/>
      </c>
      <c r="E17" s="2" t="str" cm="1">
        <f t="array" ref="E17">_xlfn.XLOOKUP(1,('Working table'!$B$2:$B$100=Xlookup_table!$B17)*('Working table'!$M$2:$M$100=Xlookup_table!E$1),'Working table'!$L$2:$L$100,"")</f>
        <v>1803 ±4 (Xtm)</v>
      </c>
      <c r="F17" s="2" t="str" cm="1">
        <f t="array" ref="F17">_xlfn.XLOOKUP(1,('Working table'!$B$2:$B$98=Xlookup_table!$B17)*('Working table'!$M$2:$M$98=Xlookup_table!F$1),'Working table'!$L$2:$L$98,"")</f>
        <v/>
      </c>
      <c r="G17" s="2" t="str" cm="1">
        <f t="array" ref="G17">_xlfn.XLOOKUP(1,('Working table'!$B$2:$B$98=Xlookup_table!$B17)*('Working table'!$M$2:$M$98=Xlookup_table!G$1),'Working table'!$L$2:$L$98,"")</f>
        <v/>
      </c>
      <c r="H17" s="1" t="str">
        <f>_xlfn.XLOOKUP(B17,No_duplicates!$A$2:$A$110,No_duplicates!$C$2:$C$110,"")</f>
        <v>Karpinka Lake</v>
      </c>
      <c r="I17" s="1" t="str">
        <f>IF(_xlfn.XLOOKUP(B17,No_duplicates!$A$2:$A$110,No_duplicates!$D$2:$D$110,"")=0,"",_xlfn.XLOOKUP(B17,No_duplicates!$A$2:$A$110,No_duplicates!$D$2:$D$110))</f>
        <v>Annesley et al. 1997</v>
      </c>
    </row>
    <row r="18" spans="2:9" x14ac:dyDescent="0.25">
      <c r="B18" s="19" t="s">
        <v>27</v>
      </c>
      <c r="C18" s="18" t="str">
        <f>_xlfn.XLOOKUP(B18,No_duplicates!$A$2:$A$110,No_duplicates!$B$2:$B$110,"")</f>
        <v>Pegmatite</v>
      </c>
      <c r="D18" s="2" t="str" cm="1">
        <f t="array" ref="D18">_xlfn.XLOOKUP(1,('Working table'!$B$2:$B$100=Xlookup_table!$B18)*('Working table'!$M$2:$M$100=Xlookup_table!D$1),'Working table'!$L$2:$L$100,"")</f>
        <v/>
      </c>
      <c r="E18" s="2" t="str" cm="1">
        <f t="array" ref="E18">_xlfn.XLOOKUP(1,('Working table'!$B$2:$B$100=Xlookup_table!$B18)*('Working table'!$M$2:$M$100=Xlookup_table!E$1),'Working table'!$L$2:$L$100,"")</f>
        <v>1788 ±4 (Xtm)</v>
      </c>
      <c r="F18" s="2" t="str" cm="1">
        <f t="array" ref="F18">_xlfn.XLOOKUP(1,('Working table'!$B$2:$B$98=Xlookup_table!$B18)*('Working table'!$M$2:$M$98=Xlookup_table!F$1),'Working table'!$L$2:$L$98,"")</f>
        <v/>
      </c>
      <c r="G18" s="2" t="str" cm="1">
        <f t="array" ref="G18">_xlfn.XLOOKUP(1,('Working table'!$B$2:$B$98=Xlookup_table!$B18)*('Working table'!$M$2:$M$98=Xlookup_table!G$1),'Working table'!$L$2:$L$98,"")</f>
        <v/>
      </c>
      <c r="H18" s="1" t="str">
        <f>_xlfn.XLOOKUP(B18,No_duplicates!$A$2:$A$110,No_duplicates!$C$2:$C$110,"")</f>
        <v>Karpinka Lake</v>
      </c>
      <c r="I18" s="1" t="str">
        <f>IF(_xlfn.XLOOKUP(B18,No_duplicates!$A$2:$A$110,No_duplicates!$D$2:$D$110,"")=0,"",_xlfn.XLOOKUP(B18,No_duplicates!$A$2:$A$110,No_duplicates!$D$2:$D$110))</f>
        <v>Annesley et al. 1997</v>
      </c>
    </row>
    <row r="19" spans="2:9" x14ac:dyDescent="0.25">
      <c r="B19" s="19" t="s">
        <v>17</v>
      </c>
      <c r="C19" s="18" t="str">
        <f>_xlfn.XLOOKUP(B19,No_duplicates!$A$2:$A$110,No_duplicates!$B$2:$B$110,"")</f>
        <v>Retrogessed Tonalitic Gneiss</v>
      </c>
      <c r="D19" s="2" t="str" cm="1">
        <f t="array" ref="D19">_xlfn.XLOOKUP(1,('Working table'!$B$2:$B$100=Xlookup_table!$B19)*('Working table'!$M$2:$M$100=Xlookup_table!D$1),'Working table'!$L$2:$L$100,"")</f>
        <v/>
      </c>
      <c r="E19" s="2" t="str" cm="1">
        <f t="array" ref="E19">_xlfn.XLOOKUP(1,('Working table'!$B$2:$B$100=Xlookup_table!$B19)*('Working table'!$M$2:$M$100=Xlookup_table!E$1),'Working table'!$L$2:$L$100,"")</f>
        <v>1806 ±3 (Xtm)</v>
      </c>
      <c r="F19" s="2" t="str" cm="1">
        <f t="array" ref="F19">_xlfn.XLOOKUP(1,('Working table'!$B$2:$B$98=Xlookup_table!$B19)*('Working table'!$M$2:$M$98=Xlookup_table!F$1),'Working table'!$L$2:$L$98,"")</f>
        <v/>
      </c>
      <c r="G19" s="2" t="str" cm="1">
        <f t="array" ref="G19">_xlfn.XLOOKUP(1,('Working table'!$B$2:$B$98=Xlookup_table!$B19)*('Working table'!$M$2:$M$98=Xlookup_table!G$1),'Working table'!$L$2:$L$98,"")</f>
        <v/>
      </c>
      <c r="H19" s="1" t="str">
        <f>_xlfn.XLOOKUP(B19,No_duplicates!$A$2:$A$110,No_duplicates!$C$2:$C$110,"")</f>
        <v>Karpinka Lake</v>
      </c>
      <c r="I19" s="1" t="str">
        <f>IF(_xlfn.XLOOKUP(B19,No_duplicates!$A$2:$A$110,No_duplicates!$D$2:$D$110,"")=0,"",_xlfn.XLOOKUP(B19,No_duplicates!$A$2:$A$110,No_duplicates!$D$2:$D$110))</f>
        <v>Annesley et al. 1997</v>
      </c>
    </row>
    <row r="20" spans="2:9" x14ac:dyDescent="0.25">
      <c r="B20" s="19" t="s">
        <v>86</v>
      </c>
      <c r="C20" s="18" t="str">
        <f>_xlfn.XLOOKUP(B20,No_duplicates!$A$2:$A$110,No_duplicates!$B$2:$B$110,"")</f>
        <v>Monzogabbro</v>
      </c>
      <c r="D20" s="2" t="str" cm="1">
        <f t="array" ref="D20">_xlfn.XLOOKUP(1,('Working table'!$B$2:$B$100=Xlookup_table!$B20)*('Working table'!$M$2:$M$100=Xlookup_table!D$1),'Working table'!$L$2:$L$100,"")</f>
        <v>1828 ±3 (Xtm)</v>
      </c>
      <c r="E20" s="2" t="str" cm="1">
        <f t="array" ref="E20">_xlfn.XLOOKUP(1,('Working table'!$B$2:$B$100=Xlookup_table!$B20)*('Working table'!$M$2:$M$100=Xlookup_table!E$1),'Working table'!$L$2:$L$100,"")</f>
        <v>1795 ±3 (Xtm)</v>
      </c>
      <c r="F20" s="2" t="str" cm="1">
        <f t="array" ref="F20">_xlfn.XLOOKUP(1,('Working table'!$B$2:$B$98=Xlookup_table!$B20)*('Working table'!$M$2:$M$98=Xlookup_table!F$1),'Working table'!$L$2:$L$98,"")</f>
        <v/>
      </c>
      <c r="G20" s="2" t="str" cm="1">
        <f t="array" ref="G20">_xlfn.XLOOKUP(1,('Working table'!$B$2:$B$98=Xlookup_table!$B20)*('Working table'!$M$2:$M$98=Xlookup_table!G$1),'Working table'!$L$2:$L$98,"")</f>
        <v/>
      </c>
      <c r="H20" s="1" t="str">
        <f>_xlfn.XLOOKUP(B20,No_duplicates!$A$2:$A$110,No_duplicates!$C$2:$C$110,"")</f>
        <v>Sandy Islands</v>
      </c>
      <c r="I20" s="1" t="str">
        <f>IF(_xlfn.XLOOKUP(B20,No_duplicates!$A$2:$A$110,No_duplicates!$D$2:$D$110,"")=0,"",_xlfn.XLOOKUP(B20,No_duplicates!$A$2:$A$110,No_duplicates!$D$2:$D$110))</f>
        <v>Annesley et al. 1995</v>
      </c>
    </row>
    <row r="21" spans="2:9" x14ac:dyDescent="0.25">
      <c r="B21" s="19" t="s">
        <v>62</v>
      </c>
      <c r="C21" s="18" t="str">
        <f>_xlfn.XLOOKUP(B21,No_duplicates!$A$2:$A$110,No_duplicates!$B$2:$B$110,"")</f>
        <v>Foliated Granite</v>
      </c>
      <c r="D21" s="2" t="str" cm="1">
        <f t="array" ref="D21">_xlfn.XLOOKUP(1,('Working table'!$B$2:$B$100=Xlookup_table!$B21)*('Working table'!$M$2:$M$100=Xlookup_table!D$1),'Working table'!$L$2:$L$100,"")</f>
        <v>2726 ±3 (Xtm)</v>
      </c>
      <c r="E21" s="2" t="str" cm="1">
        <f t="array" ref="E21">_xlfn.XLOOKUP(1,('Working table'!$B$2:$B$100=Xlookup_table!$B21)*('Working table'!$M$2:$M$100=Xlookup_table!E$1),'Working table'!$L$2:$L$100,"")</f>
        <v/>
      </c>
      <c r="F21" s="2" t="str" cm="1">
        <f t="array" ref="F21">_xlfn.XLOOKUP(1,('Working table'!$B$2:$B$98=Xlookup_table!$B21)*('Working table'!$M$2:$M$98=Xlookup_table!F$1),'Working table'!$L$2:$L$98,"")</f>
        <v/>
      </c>
      <c r="G21" s="2" t="str" cm="1">
        <f t="array" ref="G21">_xlfn.XLOOKUP(1,('Working table'!$B$2:$B$98=Xlookup_table!$B21)*('Working table'!$M$2:$M$98=Xlookup_table!G$1),'Working table'!$L$2:$L$98,"")</f>
        <v/>
      </c>
      <c r="H21" s="1" t="str">
        <f>_xlfn.XLOOKUP(B21,No_duplicates!$A$2:$A$110,No_duplicates!$C$2:$C$110,"")</f>
        <v>Fife Island</v>
      </c>
      <c r="I21" s="1" t="str">
        <f>IF(_xlfn.XLOOKUP(B21,No_duplicates!$A$2:$A$110,No_duplicates!$D$2:$D$110,"")=0,"",_xlfn.XLOOKUP(B21,No_duplicates!$A$2:$A$110,No_duplicates!$D$2:$D$110))</f>
        <v>Annesley et al. 1997</v>
      </c>
    </row>
    <row r="22" spans="2:9" x14ac:dyDescent="0.25">
      <c r="B22" s="19" t="s">
        <v>63</v>
      </c>
      <c r="C22" s="18" t="str">
        <f>_xlfn.XLOOKUP(B22,No_duplicates!$A$2:$A$110,No_duplicates!$B$2:$B$110,"")</f>
        <v>Foliated Grey Granite</v>
      </c>
      <c r="D22" s="2" t="str" cm="1">
        <f t="array" ref="D22">_xlfn.XLOOKUP(1,('Working table'!$B$2:$B$100=Xlookup_table!$B22)*('Working table'!$M$2:$M$100=Xlookup_table!D$1),'Working table'!$L$2:$L$100,"")</f>
        <v>1840 ±11 (Xtm)</v>
      </c>
      <c r="E22" s="2" t="str" cm="1">
        <f t="array" ref="E22">_xlfn.XLOOKUP(1,('Working table'!$B$2:$B$100=Xlookup_table!$B22)*('Working table'!$M$2:$M$100=Xlookup_table!E$1),'Working table'!$L$2:$L$100,"")</f>
        <v>1790 ±1 (Xtm)</v>
      </c>
      <c r="F22" s="2" t="str" cm="1">
        <f t="array" ref="F22">_xlfn.XLOOKUP(1,('Working table'!$B$2:$B$98=Xlookup_table!$B22)*('Working table'!$M$2:$M$98=Xlookup_table!F$1),'Working table'!$L$2:$L$98,"")</f>
        <v/>
      </c>
      <c r="G22" s="2" t="str" cm="1">
        <f t="array" ref="G22">_xlfn.XLOOKUP(1,('Working table'!$B$2:$B$98=Xlookup_table!$B22)*('Working table'!$M$2:$M$98=Xlookup_table!G$1),'Working table'!$L$2:$L$98,"")</f>
        <v/>
      </c>
      <c r="H22" s="1" t="str">
        <f>_xlfn.XLOOKUP(B22,No_duplicates!$A$2:$A$110,No_duplicates!$C$2:$C$110,"")</f>
        <v>Greenway Island</v>
      </c>
      <c r="I22" s="1" t="str">
        <f>IF(_xlfn.XLOOKUP(B22,No_duplicates!$A$2:$A$110,No_duplicates!$D$2:$D$110,"")=0,"",_xlfn.XLOOKUP(B22,No_duplicates!$A$2:$A$110,No_duplicates!$D$2:$D$110))</f>
        <v>Annesley et al. 1997</v>
      </c>
    </row>
    <row r="23" spans="2:9" x14ac:dyDescent="0.25">
      <c r="B23" s="19" t="s">
        <v>64</v>
      </c>
      <c r="C23" s="18" t="str">
        <f>_xlfn.XLOOKUP(B23,No_duplicates!$A$2:$A$110,No_duplicates!$B$2:$B$110,"")</f>
        <v>Pegmatite</v>
      </c>
      <c r="D23" s="2" t="str" cm="1">
        <f t="array" ref="D23">_xlfn.XLOOKUP(1,('Working table'!$B$2:$B$100=Xlookup_table!$B23)*('Working table'!$M$2:$M$100=Xlookup_table!D$1),'Working table'!$L$2:$L$100,"")</f>
        <v>1819 ±6 (Xtm)</v>
      </c>
      <c r="E23" s="2" t="str" cm="1">
        <f t="array" ref="E23">_xlfn.XLOOKUP(1,('Working table'!$B$2:$B$100=Xlookup_table!$B23)*('Working table'!$M$2:$M$100=Xlookup_table!E$1),'Working table'!$L$2:$L$100,"")</f>
        <v/>
      </c>
      <c r="F23" s="2" t="str" cm="1">
        <f t="array" ref="F23">_xlfn.XLOOKUP(1,('Working table'!$B$2:$B$98=Xlookup_table!$B23)*('Working table'!$M$2:$M$98=Xlookup_table!F$1),'Working table'!$L$2:$L$98,"")</f>
        <v/>
      </c>
      <c r="G23" s="2" t="str" cm="1">
        <f t="array" ref="G23">_xlfn.XLOOKUP(1,('Working table'!$B$2:$B$98=Xlookup_table!$B23)*('Working table'!$M$2:$M$98=Xlookup_table!G$1),'Working table'!$L$2:$L$98,"")</f>
        <v/>
      </c>
      <c r="H23" s="1" t="str">
        <f>_xlfn.XLOOKUP(B23,No_duplicates!$A$2:$A$110,No_duplicates!$C$2:$C$110,"")</f>
        <v>Greenway Island</v>
      </c>
      <c r="I23" s="1" t="str">
        <f>IF(_xlfn.XLOOKUP(B23,No_duplicates!$A$2:$A$110,No_duplicates!$D$2:$D$110,"")=0,"",_xlfn.XLOOKUP(B23,No_duplicates!$A$2:$A$110,No_duplicates!$D$2:$D$110))</f>
        <v>Annesley and Madore, 1997</v>
      </c>
    </row>
    <row r="24" spans="2:9" x14ac:dyDescent="0.25">
      <c r="B24" s="19" t="s">
        <v>80</v>
      </c>
      <c r="C24" s="18" t="str">
        <f>_xlfn.XLOOKUP(B24,No_duplicates!$A$2:$A$110,No_duplicates!$B$2:$B$110,"")</f>
        <v>Metasomatized Pegmatite</v>
      </c>
      <c r="D24" s="2" t="str" cm="1">
        <f t="array" ref="D24">_xlfn.XLOOKUP(1,('Working table'!$B$2:$B$100=Xlookup_table!$B24)*('Working table'!$M$2:$M$100=Xlookup_table!D$1),'Working table'!$L$2:$L$100,"")</f>
        <v/>
      </c>
      <c r="E24" s="2" t="str" cm="1">
        <f t="array" ref="E24">_xlfn.XLOOKUP(1,('Working table'!$B$2:$B$100=Xlookup_table!$B24)*('Working table'!$M$2:$M$100=Xlookup_table!E$1),'Working table'!$L$2:$L$100,"")</f>
        <v>1808 ±4 (Xtm)</v>
      </c>
      <c r="F24" s="2" t="str" cm="1">
        <f t="array" ref="F24">_xlfn.XLOOKUP(1,('Working table'!$B$2:$B$98=Xlookup_table!$B24)*('Working table'!$M$2:$M$98=Xlookup_table!F$1),'Working table'!$L$2:$L$98,"")</f>
        <v/>
      </c>
      <c r="G24" s="2" t="str" cm="1">
        <f t="array" ref="G24">_xlfn.XLOOKUP(1,('Working table'!$B$2:$B$98=Xlookup_table!$B24)*('Working table'!$M$2:$M$98=Xlookup_table!G$1),'Working table'!$L$2:$L$98,"")</f>
        <v/>
      </c>
      <c r="H24" s="1" t="str">
        <f>_xlfn.XLOOKUP(B24,No_duplicates!$A$2:$A$110,No_duplicates!$C$2:$C$110,"")</f>
        <v>East of Black Island</v>
      </c>
      <c r="I24" s="1" t="str">
        <f>IF(_xlfn.XLOOKUP(B24,No_duplicates!$A$2:$A$110,No_duplicates!$D$2:$D$110,"")=0,"",_xlfn.XLOOKUP(B24,No_duplicates!$A$2:$A$110,No_duplicates!$D$2:$D$110))</f>
        <v>Annesley and Madore, 1997</v>
      </c>
    </row>
    <row r="25" spans="2:9" x14ac:dyDescent="0.25">
      <c r="B25" s="19" t="s">
        <v>57</v>
      </c>
      <c r="C25" s="18" t="str">
        <f>_xlfn.XLOOKUP(B25,No_duplicates!$A$2:$A$110,No_duplicates!$B$2:$B$110,"")</f>
        <v>Porphyritic Granite</v>
      </c>
      <c r="D25" s="2" t="str" cm="1">
        <f t="array" ref="D25">_xlfn.XLOOKUP(1,('Working table'!$B$2:$B$100=Xlookup_table!$B25)*('Working table'!$M$2:$M$100=Xlookup_table!D$1),'Working table'!$L$2:$L$100,"")</f>
        <v>1812 ±3 (Xtm)</v>
      </c>
      <c r="E25" s="2" t="str" cm="1">
        <f t="array" ref="E25">_xlfn.XLOOKUP(1,('Working table'!$B$2:$B$100=Xlookup_table!$B25)*('Working table'!$M$2:$M$100=Xlookup_table!E$1),'Working table'!$L$2:$L$100,"")</f>
        <v/>
      </c>
      <c r="F25" s="2" t="str" cm="1">
        <f t="array" ref="F25">_xlfn.XLOOKUP(1,('Working table'!$B$2:$B$98=Xlookup_table!$B25)*('Working table'!$M$2:$M$98=Xlookup_table!F$1),'Working table'!$L$2:$L$98,"")</f>
        <v/>
      </c>
      <c r="G25" s="2" t="str" cm="1">
        <f t="array" ref="G25">_xlfn.XLOOKUP(1,('Working table'!$B$2:$B$98=Xlookup_table!$B25)*('Working table'!$M$2:$M$98=Xlookup_table!G$1),'Working table'!$L$2:$L$98,"")</f>
        <v/>
      </c>
      <c r="H25" s="1" t="str">
        <f>_xlfn.XLOOKUP(B25,No_duplicates!$A$2:$A$110,No_duplicates!$C$2:$C$110,"")</f>
        <v>Harrison Peninsula</v>
      </c>
      <c r="I25" s="1" t="str">
        <f>IF(_xlfn.XLOOKUP(B25,No_duplicates!$A$2:$A$110,No_duplicates!$D$2:$D$110,"")=0,"",_xlfn.XLOOKUP(B25,No_duplicates!$A$2:$A$110,No_duplicates!$D$2:$D$110))</f>
        <v>Annesley et al. 1995</v>
      </c>
    </row>
    <row r="26" spans="2:9" x14ac:dyDescent="0.25">
      <c r="B26" s="19" t="s">
        <v>82</v>
      </c>
      <c r="C26" s="18" t="str">
        <f>_xlfn.XLOOKUP(B26,No_duplicates!$A$2:$A$110,No_duplicates!$B$2:$B$110,"")</f>
        <v>Granitic Gneiss</v>
      </c>
      <c r="D26" s="2" t="str" cm="1">
        <f t="array" ref="D26">_xlfn.XLOOKUP(1,('Working table'!$B$2:$B$100=Xlookup_table!$B26)*('Working table'!$M$2:$M$100=Xlookup_table!D$1),'Working table'!$L$2:$L$100,"")</f>
        <v>2626 ±15 (Xtm)</v>
      </c>
      <c r="E26" s="2" t="str" cm="1">
        <f t="array" ref="E26">_xlfn.XLOOKUP(1,('Working table'!$B$2:$B$100=Xlookup_table!$B26)*('Working table'!$M$2:$M$100=Xlookup_table!E$1),'Working table'!$L$2:$L$100,"")</f>
        <v/>
      </c>
      <c r="F26" s="2" t="str" cm="1">
        <f t="array" ref="F26">_xlfn.XLOOKUP(1,('Working table'!$B$2:$B$98=Xlookup_table!$B26)*('Working table'!$M$2:$M$98=Xlookup_table!F$1),'Working table'!$L$2:$L$98,"")</f>
        <v>1837 ±34 (Ttn)</v>
      </c>
      <c r="G26" s="2" t="str" cm="1">
        <f t="array" ref="G26">_xlfn.XLOOKUP(1,('Working table'!$B$2:$B$98=Xlookup_table!$B26)*('Working table'!$M$2:$M$98=Xlookup_table!G$1),'Working table'!$L$2:$L$98,"")</f>
        <v/>
      </c>
      <c r="H26" s="1" t="str">
        <f>_xlfn.XLOOKUP(B26,No_duplicates!$A$2:$A$110,No_duplicates!$C$2:$C$110,"")</f>
        <v>East of Black Island</v>
      </c>
      <c r="I26" s="1" t="str">
        <f>IF(_xlfn.XLOOKUP(B26,No_duplicates!$A$2:$A$110,No_duplicates!$D$2:$D$110,"")=0,"",_xlfn.XLOOKUP(B26,No_duplicates!$A$2:$A$110,No_duplicates!$D$2:$D$110))</f>
        <v>Annesley et al. 1997</v>
      </c>
    </row>
    <row r="27" spans="2:9" x14ac:dyDescent="0.25">
      <c r="B27" s="19" t="s">
        <v>34</v>
      </c>
      <c r="C27" s="18" t="str">
        <f>_xlfn.XLOOKUP(B27,No_duplicates!$A$2:$A$110,No_duplicates!$B$2:$B$110,"")</f>
        <v>Grey Tonalitic Gneiss</v>
      </c>
      <c r="D27" s="2" t="str" cm="1">
        <f t="array" ref="D27">_xlfn.XLOOKUP(1,('Working table'!$B$2:$B$100=Xlookup_table!$B27)*('Working table'!$M$2:$M$100=Xlookup_table!D$1),'Working table'!$L$2:$L$100,"")</f>
        <v>1818 ±1 (Xtm)</v>
      </c>
      <c r="E27" s="2" t="str" cm="1">
        <f t="array" ref="E27">_xlfn.XLOOKUP(1,('Working table'!$B$2:$B$100=Xlookup_table!$B27)*('Working table'!$M$2:$M$100=Xlookup_table!E$1),'Working table'!$L$2:$L$100,"")</f>
        <v>1801 ±1 (Xtm)</v>
      </c>
      <c r="F27" s="2" t="str" cm="1">
        <f t="array" ref="F27">_xlfn.XLOOKUP(1,('Working table'!$B$2:$B$98=Xlookup_table!$B27)*('Working table'!$M$2:$M$98=Xlookup_table!F$1),'Working table'!$L$2:$L$98,"")</f>
        <v/>
      </c>
      <c r="G27" s="2" t="str" cm="1">
        <f t="array" ref="G27">_xlfn.XLOOKUP(1,('Working table'!$B$2:$B$98=Xlookup_table!$B27)*('Working table'!$M$2:$M$98=Xlookup_table!G$1),'Working table'!$L$2:$L$98,"")</f>
        <v/>
      </c>
      <c r="H27" s="1" t="str">
        <f>_xlfn.XLOOKUP(B27,No_duplicates!$A$2:$A$110,No_duplicates!$C$2:$C$110,"")</f>
        <v>Yalowega Lake</v>
      </c>
      <c r="I27" s="1" t="str">
        <f>IF(_xlfn.XLOOKUP(B27,No_duplicates!$A$2:$A$110,No_duplicates!$D$2:$D$110,"")=0,"",_xlfn.XLOOKUP(B27,No_duplicates!$A$2:$A$110,No_duplicates!$D$2:$D$110))</f>
        <v>Annesley et al. 1998</v>
      </c>
    </row>
    <row r="28" spans="2:9" x14ac:dyDescent="0.25">
      <c r="B28" s="19" t="s">
        <v>36</v>
      </c>
      <c r="C28" s="18" t="str">
        <f>_xlfn.XLOOKUP(B28,No_duplicates!$A$2:$A$110,No_duplicates!$B$2:$B$110,"")</f>
        <v>Pegmatite</v>
      </c>
      <c r="D28" s="2" t="str" cm="1">
        <f t="array" ref="D28">_xlfn.XLOOKUP(1,('Working table'!$B$2:$B$100=Xlookup_table!$B28)*('Working table'!$M$2:$M$100=Xlookup_table!D$1),'Working table'!$L$2:$L$100,"")</f>
        <v>1811 ±1 (Xtm)</v>
      </c>
      <c r="E28" s="2" t="str" cm="1">
        <f t="array" ref="E28">_xlfn.XLOOKUP(1,('Working table'!$B$2:$B$100=Xlookup_table!$B28)*('Working table'!$M$2:$M$100=Xlookup_table!E$1),'Working table'!$L$2:$L$100,"")</f>
        <v>1805 ±5 (Xtm)</v>
      </c>
      <c r="F28" s="2" t="str" cm="1">
        <f t="array" ref="F28">_xlfn.XLOOKUP(1,('Working table'!$B$2:$B$98=Xlookup_table!$B28)*('Working table'!$M$2:$M$98=Xlookup_table!F$1),'Working table'!$L$2:$L$98,"")</f>
        <v/>
      </c>
      <c r="G28" s="2" t="str" cm="1">
        <f t="array" ref="G28">_xlfn.XLOOKUP(1,('Working table'!$B$2:$B$98=Xlookup_table!$B28)*('Working table'!$M$2:$M$98=Xlookup_table!G$1),'Working table'!$L$2:$L$98,"")</f>
        <v/>
      </c>
      <c r="H28" s="1" t="str">
        <f>_xlfn.XLOOKUP(B28,No_duplicates!$A$2:$A$110,No_duplicates!$C$2:$C$110,"")</f>
        <v>Yalowega Lake</v>
      </c>
      <c r="I28" s="1" t="str">
        <f>IF(_xlfn.XLOOKUP(B28,No_duplicates!$A$2:$A$110,No_duplicates!$D$2:$D$110,"")=0,"",_xlfn.XLOOKUP(B28,No_duplicates!$A$2:$A$110,No_duplicates!$D$2:$D$110))</f>
        <v>Annesley et al. 1999</v>
      </c>
    </row>
    <row r="29" spans="2:9" x14ac:dyDescent="0.25">
      <c r="B29" s="19" t="s">
        <v>302</v>
      </c>
      <c r="C29" s="18" t="str">
        <f>_xlfn.XLOOKUP(B29,No_duplicates!$A$2:$A$110,No_duplicates!$B$2:$B$110,"")</f>
        <v>Tonalitic Gneiss</v>
      </c>
      <c r="D29" s="2" t="str" cm="1">
        <f t="array" ref="D29">_xlfn.XLOOKUP(1,('Working table'!$B$2:$B$100=Xlookup_table!$B29)*('Working table'!$M$2:$M$100=Xlookup_table!D$1),'Working table'!$L$2:$L$100,"")</f>
        <v>2714 ±12 (Xtm)</v>
      </c>
      <c r="E29" s="2" t="str" cm="1">
        <f t="array" ref="E29">_xlfn.XLOOKUP(1,('Working table'!$B$2:$B$100=Xlookup_table!$B29)*('Working table'!$M$2:$M$100=Xlookup_table!E$1),'Working table'!$L$2:$L$100,"")</f>
        <v>1805.5 ±1.4 (Ttn)</v>
      </c>
      <c r="F29" s="2" t="str" cm="1">
        <f t="array" ref="F29">_xlfn.XLOOKUP(1,('Working table'!$B$2:$B$98=Xlookup_table!$B29)*('Working table'!$M$2:$M$98=Xlookup_table!F$1),'Working table'!$L$2:$L$98,"")</f>
        <v/>
      </c>
      <c r="G29" s="2" t="str" cm="1">
        <f t="array" ref="G29">_xlfn.XLOOKUP(1,('Working table'!$B$2:$B$98=Xlookup_table!$B29)*('Working table'!$M$2:$M$98=Xlookup_table!G$1),'Working table'!$L$2:$L$98,"")</f>
        <v/>
      </c>
      <c r="H29" s="1" t="str">
        <f>_xlfn.XLOOKUP(B29,No_duplicates!$A$2:$A$110,No_duplicates!$C$2:$C$110,"")</f>
        <v>Close Lake</v>
      </c>
      <c r="I29" s="1" t="str">
        <f>IF(_xlfn.XLOOKUP(B29,No_duplicates!$A$2:$A$110,No_duplicates!$D$2:$D$110,"")=0,"",_xlfn.XLOOKUP(B29,No_duplicates!$A$2:$A$110,No_duplicates!$D$2:$D$110))</f>
        <v>Annesley et al. 2003</v>
      </c>
    </row>
    <row r="30" spans="2:9" x14ac:dyDescent="0.25">
      <c r="B30" s="19" t="s">
        <v>31</v>
      </c>
      <c r="C30" s="18" t="str">
        <f>_xlfn.XLOOKUP(B30,No_duplicates!$A$2:$A$110,No_duplicates!$B$2:$B$110,"")</f>
        <v>Pegmatite</v>
      </c>
      <c r="D30" s="2" t="str" cm="1">
        <f t="array" ref="D30">_xlfn.XLOOKUP(1,('Working table'!$B$2:$B$100=Xlookup_table!$B30)*('Working table'!$M$2:$M$100=Xlookup_table!D$1),'Working table'!$L$2:$L$100,"")</f>
        <v>1822 ±5 (Xtm)</v>
      </c>
      <c r="E30" s="2" t="str" cm="1">
        <f t="array" ref="E30">_xlfn.XLOOKUP(1,('Working table'!$B$2:$B$100=Xlookup_table!$B30)*('Working table'!$M$2:$M$100=Xlookup_table!E$1),'Working table'!$L$2:$L$100,"")</f>
        <v>1182 ±7 (Xtm)</v>
      </c>
      <c r="F30" s="2" t="str" cm="1">
        <f t="array" ref="F30">_xlfn.XLOOKUP(1,('Working table'!$B$2:$B$98=Xlookup_table!$B30)*('Working table'!$M$2:$M$98=Xlookup_table!F$1),'Working table'!$L$2:$L$98,"")</f>
        <v/>
      </c>
      <c r="G30" s="2" t="str" cm="1">
        <f t="array" ref="G30">_xlfn.XLOOKUP(1,('Working table'!$B$2:$B$98=Xlookup_table!$B30)*('Working table'!$M$2:$M$98=Xlookup_table!G$1),'Working table'!$L$2:$L$98,"")</f>
        <v/>
      </c>
      <c r="H30" s="1" t="str">
        <f>_xlfn.XLOOKUP(B30,No_duplicates!$A$2:$A$110,No_duplicates!$C$2:$C$110,"")</f>
        <v>NE - Close Lake</v>
      </c>
      <c r="I30" s="1" t="str">
        <f>IF(_xlfn.XLOOKUP(B30,No_duplicates!$A$2:$A$110,No_duplicates!$D$2:$D$110,"")=0,"",_xlfn.XLOOKUP(B30,No_duplicates!$A$2:$A$110,No_duplicates!$D$2:$D$110))</f>
        <v>Madore et al. 1999</v>
      </c>
    </row>
    <row r="31" spans="2:9" x14ac:dyDescent="0.25">
      <c r="B31" s="20" t="s">
        <v>226</v>
      </c>
      <c r="C31" s="18" t="str">
        <f>_xlfn.XLOOKUP(B31,No_duplicates!$A$2:$A$110,No_duplicates!$B$2:$B$110,"")</f>
        <v>Archean granitic gneiss</v>
      </c>
      <c r="D31" s="2" t="str" cm="1">
        <f t="array" ref="D31">_xlfn.XLOOKUP(1,('Working table'!$B$2:$B$100=Xlookup_table!$B31)*('Working table'!$M$2:$M$100=Xlookup_table!D$1),'Working table'!$L$2:$L$100,"")</f>
        <v>2731 ±25 (Xtm)</v>
      </c>
      <c r="E31" s="2" t="str" cm="1">
        <f t="array" ref="E31">_xlfn.XLOOKUP(1,('Working table'!$B$2:$B$100=Xlookup_table!$B31)*('Working table'!$M$2:$M$100=Xlookup_table!E$1),'Working table'!$L$2:$L$100,"")</f>
        <v>1791.3 ±8 (Xtm)</v>
      </c>
      <c r="F31" s="2" t="str" cm="1">
        <f t="array" ref="F31">_xlfn.XLOOKUP(1,('Working table'!$B$2:$B$98=Xlookup_table!$B31)*('Working table'!$M$2:$M$98=Xlookup_table!F$1),'Working table'!$L$2:$L$98,"")</f>
        <v/>
      </c>
      <c r="G31" s="2" t="str" cm="1">
        <f t="array" ref="G31">_xlfn.XLOOKUP(1,('Working table'!$B$2:$B$98=Xlookup_table!$B31)*('Working table'!$M$2:$M$98=Xlookup_table!G$1),'Working table'!$L$2:$L$98,"")</f>
        <v/>
      </c>
      <c r="H31" s="1" t="str">
        <f>_xlfn.XLOOKUP(B31,No_duplicates!$A$2:$A$110,No_duplicates!$C$2:$C$110,"")</f>
        <v>Millenium Deposit</v>
      </c>
      <c r="I31" s="1" t="str">
        <f>IF(_xlfn.XLOOKUP(B31,No_duplicates!$A$2:$A$110,No_duplicates!$D$2:$D$110,"")=0,"",_xlfn.XLOOKUP(B31,No_duplicates!$A$2:$A$110,No_duplicates!$D$2:$D$110))</f>
        <v>Annesley et al. 2007</v>
      </c>
    </row>
    <row r="32" spans="2:9" x14ac:dyDescent="0.25">
      <c r="B32" s="20" t="s">
        <v>227</v>
      </c>
      <c r="C32" s="18" t="str">
        <f>_xlfn.XLOOKUP(B32,No_duplicates!$A$2:$A$110,No_duplicates!$B$2:$B$110,"")</f>
        <v>Granitic pegmatite</v>
      </c>
      <c r="D32" s="2" t="str" cm="1">
        <f t="array" ref="D32">_xlfn.XLOOKUP(1,('Working table'!$B$2:$B$100=Xlookup_table!$B32)*('Working table'!$M$2:$M$100=Xlookup_table!D$1),'Working table'!$L$2:$L$100,"")</f>
        <v>1816 ±7 (Ttn)</v>
      </c>
      <c r="E32" s="2" t="str" cm="1">
        <f t="array" ref="E32">_xlfn.XLOOKUP(1,('Working table'!$B$2:$B$100=Xlookup_table!$B32)*('Working table'!$M$2:$M$100=Xlookup_table!E$1),'Working table'!$L$2:$L$100,"")</f>
        <v>1792.4 ±1.2 (Ttn)</v>
      </c>
      <c r="F32" s="2" t="str" cm="1">
        <f t="array" ref="F32">_xlfn.XLOOKUP(1,('Working table'!$B$2:$B$98=Xlookup_table!$B32)*('Working table'!$M$2:$M$98=Xlookup_table!F$1),'Working table'!$L$2:$L$98,"")</f>
        <v/>
      </c>
      <c r="G32" s="2" t="str" cm="1">
        <f t="array" ref="G32">_xlfn.XLOOKUP(1,('Working table'!$B$2:$B$98=Xlookup_table!$B32)*('Working table'!$M$2:$M$98=Xlookup_table!G$1),'Working table'!$L$2:$L$98,"")</f>
        <v/>
      </c>
      <c r="H32" s="1" t="str">
        <f>_xlfn.XLOOKUP(B32,No_duplicates!$A$2:$A$110,No_duplicates!$C$2:$C$110,"")</f>
        <v>Millenium Deposit</v>
      </c>
      <c r="I32" s="1" t="str">
        <f>IF(_xlfn.XLOOKUP(B32,No_duplicates!$A$2:$A$110,No_duplicates!$D$2:$D$110,"")=0,"",_xlfn.XLOOKUP(B32,No_duplicates!$A$2:$A$110,No_duplicates!$D$2:$D$110))</f>
        <v>Annesley et al. 2007</v>
      </c>
    </row>
    <row r="33" spans="2:9" x14ac:dyDescent="0.25">
      <c r="B33" s="20" t="s">
        <v>33</v>
      </c>
      <c r="C33" s="18" t="str">
        <f>_xlfn.XLOOKUP(B33,No_duplicates!$A$2:$A$110,No_duplicates!$B$2:$B$110,"")</f>
        <v>Pegmatite</v>
      </c>
      <c r="D33" s="2" t="str" cm="1">
        <f t="array" ref="D33">_xlfn.XLOOKUP(1,('Working table'!$B$2:$B$100=Xlookup_table!$B33)*('Working table'!$M$2:$M$100=Xlookup_table!D$1),'Working table'!$L$2:$L$100,"")</f>
        <v>1819 ±6 (Xtm)</v>
      </c>
      <c r="E33" s="2" t="str" cm="1">
        <f t="array" ref="E33">_xlfn.XLOOKUP(1,('Working table'!$B$2:$B$100=Xlookup_table!$B33)*('Working table'!$M$2:$M$100=Xlookup_table!E$1),'Working table'!$L$2:$L$100,"")</f>
        <v>1224 ±6 (Xtm)</v>
      </c>
      <c r="F33" s="2" t="str" cm="1">
        <f t="array" ref="F33">_xlfn.XLOOKUP(1,('Working table'!$B$2:$B$98=Xlookup_table!$B33)*('Working table'!$M$2:$M$98=Xlookup_table!F$1),'Working table'!$L$2:$L$98,"")</f>
        <v/>
      </c>
      <c r="G33" s="2" t="str" cm="1">
        <f t="array" ref="G33">_xlfn.XLOOKUP(1,('Working table'!$B$2:$B$98=Xlookup_table!$B33)*('Working table'!$M$2:$M$98=Xlookup_table!G$1),'Working table'!$L$2:$L$98,"")</f>
        <v/>
      </c>
      <c r="H33" s="1" t="str">
        <f>_xlfn.XLOOKUP(B33,No_duplicates!$A$2:$A$110,No_duplicates!$C$2:$C$110,"")</f>
        <v>Epp Lake</v>
      </c>
      <c r="I33" s="1" t="str">
        <f>IF(_xlfn.XLOOKUP(B33,No_duplicates!$A$2:$A$110,No_duplicates!$D$2:$D$110,"")=0,"",_xlfn.XLOOKUP(B33,No_duplicates!$A$2:$A$110,No_duplicates!$D$2:$D$110))</f>
        <v>Madore et al. 1999</v>
      </c>
    </row>
    <row r="34" spans="2:9" x14ac:dyDescent="0.25">
      <c r="B34" s="20" t="s">
        <v>291</v>
      </c>
      <c r="C34" s="18" t="str">
        <f>_xlfn.XLOOKUP(B34,No_duplicates!$A$2:$A$110,No_duplicates!$B$2:$B$110,"")</f>
        <v>U vein</v>
      </c>
      <c r="D34" s="2" t="str" cm="1">
        <f t="array" ref="D34">_xlfn.XLOOKUP(1,('Working table'!$B$2:$B$100=Xlookup_table!$B34)*('Working table'!$M$2:$M$100=Xlookup_table!D$1),'Working table'!$L$2:$L$100,"")</f>
        <v/>
      </c>
      <c r="E34" s="2" t="str" cm="1">
        <f t="array" ref="E34">_xlfn.XLOOKUP(1,('Working table'!$B$2:$B$100=Xlookup_table!$B34)*('Working table'!$M$2:$M$100=Xlookup_table!E$1),'Working table'!$L$2:$L$100,"")</f>
        <v>1774 ±9 (Xtm)</v>
      </c>
      <c r="F34" s="2" t="str" cm="1">
        <f t="array" ref="F34">_xlfn.XLOOKUP(1,('Working table'!$B$2:$B$98=Xlookup_table!$B34)*('Working table'!$M$2:$M$98=Xlookup_table!F$1),'Working table'!$L$2:$L$98,"")</f>
        <v/>
      </c>
      <c r="G34" s="2" t="str" cm="1">
        <f t="array" ref="G34">_xlfn.XLOOKUP(1,('Working table'!$B$2:$B$98=Xlookup_table!$B34)*('Working table'!$M$2:$M$98=Xlookup_table!G$1),'Working table'!$L$2:$L$98,"")</f>
        <v/>
      </c>
      <c r="H34" s="1" t="str">
        <f>_xlfn.XLOOKUP(B34,No_duplicates!$A$2:$A$110,No_duplicates!$C$2:$C$110,"")</f>
        <v>Hook Lake</v>
      </c>
      <c r="I34" s="1" t="str">
        <f>IF(_xlfn.XLOOKUP(B34,No_duplicates!$A$2:$A$110,No_duplicates!$D$2:$D$110,"")=0,"",_xlfn.XLOOKUP(B34,No_duplicates!$A$2:$A$110,No_duplicates!$D$2:$D$110))</f>
        <v>Mercadier et al., 2013</v>
      </c>
    </row>
    <row r="35" spans="2:9" x14ac:dyDescent="0.25">
      <c r="B35" s="20" t="s">
        <v>292</v>
      </c>
      <c r="C35" s="18" t="str">
        <f>_xlfn.XLOOKUP(B35,No_duplicates!$A$2:$A$110,No_duplicates!$B$2:$B$110,"")</f>
        <v>U vein</v>
      </c>
      <c r="D35" s="2" t="str" cm="1">
        <f t="array" ref="D35">_xlfn.XLOOKUP(1,('Working table'!$B$2:$B$100=Xlookup_table!$B35)*('Working table'!$M$2:$M$100=Xlookup_table!D$1),'Working table'!$L$2:$L$100,"")</f>
        <v>1805 ±11 (Xtm)</v>
      </c>
      <c r="E35" s="2" t="str" cm="1">
        <f t="array" ref="E35">_xlfn.XLOOKUP(1,('Working table'!$B$2:$B$100=Xlookup_table!$B35)*('Working table'!$M$2:$M$100=Xlookup_table!E$1),'Working table'!$L$2:$L$100,"")</f>
        <v/>
      </c>
      <c r="F35" s="2" t="str" cm="1">
        <f t="array" ref="F35">_xlfn.XLOOKUP(1,('Working table'!$B$2:$B$98=Xlookup_table!$B35)*('Working table'!$M$2:$M$98=Xlookup_table!F$1),'Working table'!$L$2:$L$98,"")</f>
        <v/>
      </c>
      <c r="G35" s="2" t="str" cm="1">
        <f t="array" ref="G35">_xlfn.XLOOKUP(1,('Working table'!$B$2:$B$98=Xlookup_table!$B35)*('Working table'!$M$2:$M$98=Xlookup_table!G$1),'Working table'!$L$2:$L$98,"")</f>
        <v/>
      </c>
      <c r="H35" s="1" t="str">
        <f>_xlfn.XLOOKUP(B35,No_duplicates!$A$2:$A$110,No_duplicates!$C$2:$C$110,"")</f>
        <v>Hook Lake</v>
      </c>
      <c r="I35" s="1" t="str">
        <f>IF(_xlfn.XLOOKUP(B35,No_duplicates!$A$2:$A$110,No_duplicates!$D$2:$D$110,"")=0,"",_xlfn.XLOOKUP(B35,No_duplicates!$A$2:$A$110,No_duplicates!$D$2:$D$110))</f>
        <v>Mercadier et al., 2013</v>
      </c>
    </row>
    <row r="36" spans="2:9" x14ac:dyDescent="0.25">
      <c r="B36" s="20" t="s">
        <v>223</v>
      </c>
      <c r="C36" s="18" t="str">
        <f>_xlfn.XLOOKUP(B36,No_duplicates!$A$2:$A$110,No_duplicates!$B$2:$B$110,"")</f>
        <v>Granitic pegmatite</v>
      </c>
      <c r="D36" s="2" t="str" cm="1">
        <f t="array" ref="D36">_xlfn.XLOOKUP(1,('Working table'!$B$2:$B$100=Xlookup_table!$B36)*('Working table'!$M$2:$M$100=Xlookup_table!D$1),'Working table'!$L$2:$L$100,"")</f>
        <v>1814.6 ±1.4 (Xtm)</v>
      </c>
      <c r="E36" s="2" t="str" cm="1">
        <f t="array" ref="E36">_xlfn.XLOOKUP(1,('Working table'!$B$2:$B$100=Xlookup_table!$B36)*('Working table'!$M$2:$M$100=Xlookup_table!E$1),'Working table'!$L$2:$L$100,"")</f>
        <v/>
      </c>
      <c r="F36" s="2" t="str" cm="1">
        <f t="array" ref="F36">_xlfn.XLOOKUP(1,('Working table'!$B$2:$B$98=Xlookup_table!$B36)*('Working table'!$M$2:$M$98=Xlookup_table!F$1),'Working table'!$L$2:$L$98,"")</f>
        <v/>
      </c>
      <c r="G36" s="2" t="str" cm="1">
        <f t="array" ref="G36">_xlfn.XLOOKUP(1,('Working table'!$B$2:$B$98=Xlookup_table!$B36)*('Working table'!$M$2:$M$98=Xlookup_table!G$1),'Working table'!$L$2:$L$98,"")</f>
        <v/>
      </c>
      <c r="H36" s="1" t="str">
        <f>_xlfn.XLOOKUP(B36,No_duplicates!$A$2:$A$110,No_duplicates!$C$2:$C$110,"")</f>
        <v>McArthur River</v>
      </c>
      <c r="I36" s="1" t="str">
        <f>IF(_xlfn.XLOOKUP(B36,No_duplicates!$A$2:$A$110,No_duplicates!$D$2:$D$110,"")=0,"",_xlfn.XLOOKUP(B36,No_duplicates!$A$2:$A$110,No_duplicates!$D$2:$D$110))</f>
        <v>Annesley et al. 2007</v>
      </c>
    </row>
    <row r="37" spans="2:9" x14ac:dyDescent="0.25">
      <c r="B37" s="20" t="s">
        <v>42</v>
      </c>
      <c r="C37" s="18" t="str">
        <f>_xlfn.XLOOKUP(B37,No_duplicates!$A$2:$A$110,No_duplicates!$B$2:$B$110,"")</f>
        <v>Granitic Gneiss</v>
      </c>
      <c r="D37" s="2" t="str" cm="1">
        <f t="array" ref="D37">_xlfn.XLOOKUP(1,('Working table'!$B$2:$B$100=Xlookup_table!$B37)*('Working table'!$M$2:$M$100=Xlookup_table!D$1),'Working table'!$L$2:$L$100,"")</f>
        <v>2592 ±7 (Xtm)</v>
      </c>
      <c r="E37" s="2" t="str" cm="1">
        <f t="array" ref="E37">_xlfn.XLOOKUP(1,('Working table'!$B$2:$B$100=Xlookup_table!$B37)*('Working table'!$M$2:$M$100=Xlookup_table!E$1),'Working table'!$L$2:$L$100,"")</f>
        <v/>
      </c>
      <c r="F37" s="2" t="str" cm="1">
        <f t="array" ref="F37">_xlfn.XLOOKUP(1,('Working table'!$B$2:$B$98=Xlookup_table!$B37)*('Working table'!$M$2:$M$98=Xlookup_table!F$1),'Working table'!$L$2:$L$98,"")</f>
        <v/>
      </c>
      <c r="G37" s="2" t="str" cm="1">
        <f t="array" ref="G37">_xlfn.XLOOKUP(1,('Working table'!$B$2:$B$98=Xlookup_table!$B37)*('Working table'!$M$2:$M$98=Xlookup_table!G$1),'Working table'!$L$2:$L$98,"")</f>
        <v/>
      </c>
      <c r="H37" s="1" t="str">
        <f>_xlfn.XLOOKUP(B37,No_duplicates!$A$2:$A$110,No_duplicates!$C$2:$C$110,"")</f>
        <v>McArthur River</v>
      </c>
      <c r="I37" s="1" t="str">
        <f>IF(_xlfn.XLOOKUP(B37,No_duplicates!$A$2:$A$110,No_duplicates!$D$2:$D$110,"")=0,"",_xlfn.XLOOKUP(B37,No_duplicates!$A$2:$A$110,No_duplicates!$D$2:$D$110))</f>
        <v>Annesley et al. 1998</v>
      </c>
    </row>
    <row r="38" spans="2:9" x14ac:dyDescent="0.25">
      <c r="B38" s="20" t="s">
        <v>41</v>
      </c>
      <c r="C38" s="18" t="str">
        <f>_xlfn.XLOOKUP(B38,No_duplicates!$A$2:$A$110,No_duplicates!$B$2:$B$110,"")</f>
        <v>Foliated Granite</v>
      </c>
      <c r="D38" s="2" t="str" cm="1">
        <f t="array" ref="D38">_xlfn.XLOOKUP(1,('Working table'!$B$2:$B$100=Xlookup_table!$B38)*('Working table'!$M$2:$M$100=Xlookup_table!D$1),'Working table'!$L$2:$L$100,"")</f>
        <v>2593 ±5 (Xtm)</v>
      </c>
      <c r="E38" s="2" t="str" cm="1">
        <f t="array" ref="E38">_xlfn.XLOOKUP(1,('Working table'!$B$2:$B$100=Xlookup_table!$B38)*('Working table'!$M$2:$M$100=Xlookup_table!E$1),'Working table'!$L$2:$L$100,"")</f>
        <v>1819 ±2 (Xtm)</v>
      </c>
      <c r="F38" s="2" t="str" cm="1">
        <f t="array" ref="F38">_xlfn.XLOOKUP(1,('Working table'!$B$2:$B$98=Xlookup_table!$B38)*('Working table'!$M$2:$M$98=Xlookup_table!F$1),'Working table'!$L$2:$L$98,"")</f>
        <v/>
      </c>
      <c r="G38" s="2" t="str" cm="1">
        <f t="array" ref="G38">_xlfn.XLOOKUP(1,('Working table'!$B$2:$B$98=Xlookup_table!$B38)*('Working table'!$M$2:$M$98=Xlookup_table!G$1),'Working table'!$L$2:$L$98,"")</f>
        <v/>
      </c>
      <c r="H38" s="1" t="str">
        <f>_xlfn.XLOOKUP(B38,No_duplicates!$A$2:$A$110,No_duplicates!$C$2:$C$110,"")</f>
        <v>Moore - Tomblin</v>
      </c>
      <c r="I38" s="1" t="str">
        <f>IF(_xlfn.XLOOKUP(B38,No_duplicates!$A$2:$A$110,No_duplicates!$D$2:$D$110,"")=0,"",_xlfn.XLOOKUP(B38,No_duplicates!$A$2:$A$110,No_duplicates!$D$2:$D$110))</f>
        <v>Annesley et al. 1999</v>
      </c>
    </row>
    <row r="39" spans="2:9" x14ac:dyDescent="0.25">
      <c r="B39" s="20" t="s">
        <v>284</v>
      </c>
      <c r="C39" s="18" t="str">
        <f>_xlfn.XLOOKUP(B39,No_duplicates!$A$2:$A$110,No_duplicates!$B$2:$B$110,"")</f>
        <v>Foliated meta-tonalite</v>
      </c>
      <c r="D39" s="2" t="str" cm="1">
        <f t="array" ref="D39">_xlfn.XLOOKUP(1,('Working table'!$B$2:$B$100=Xlookup_table!$B39)*('Working table'!$M$2:$M$100=Xlookup_table!D$1),'Working table'!$L$2:$L$100,"")</f>
        <v>2612 ±22 (Xtm)</v>
      </c>
      <c r="E39" s="2" t="str" cm="1">
        <f t="array" ref="E39">_xlfn.XLOOKUP(1,('Working table'!$B$2:$B$100=Xlookup_table!$B39)*('Working table'!$M$2:$M$100=Xlookup_table!E$1),'Working table'!$L$2:$L$100,"")</f>
        <v>1803 ±1 (Xtm)</v>
      </c>
      <c r="F39" s="2" t="str" cm="1">
        <f t="array" ref="F39">_xlfn.XLOOKUP(1,('Working table'!$B$2:$B$98=Xlookup_table!$B39)*('Working table'!$M$2:$M$98=Xlookup_table!F$1),'Working table'!$L$2:$L$98,"")</f>
        <v/>
      </c>
      <c r="G39" s="2" t="str" cm="1">
        <f t="array" ref="G39">_xlfn.XLOOKUP(1,('Working table'!$B$2:$B$98=Xlookup_table!$B39)*('Working table'!$M$2:$M$98=Xlookup_table!G$1),'Working table'!$L$2:$L$98,"")</f>
        <v/>
      </c>
      <c r="H39" s="1" t="str">
        <f>_xlfn.XLOOKUP(B39,No_duplicates!$A$2:$A$110,No_duplicates!$C$2:$C$110,"")</f>
        <v>Russel Lake</v>
      </c>
      <c r="I39" s="1" t="str">
        <f>IF(_xlfn.XLOOKUP(B39,No_duplicates!$A$2:$A$110,No_duplicates!$D$2:$D$110,"")=0,"",_xlfn.XLOOKUP(B39,No_duplicates!$A$2:$A$110,No_duplicates!$D$2:$D$110))</f>
        <v>Annesley et al. 2007</v>
      </c>
    </row>
    <row r="40" spans="2:9" x14ac:dyDescent="0.25">
      <c r="B40" s="20" t="s">
        <v>286</v>
      </c>
      <c r="C40" s="18" t="str">
        <f>_xlfn.XLOOKUP(B40,No_duplicates!$A$2:$A$110,No_duplicates!$B$2:$B$110,"")</f>
        <v>Granitic gneiss</v>
      </c>
      <c r="D40" s="2" t="str" cm="1">
        <f t="array" ref="D40">_xlfn.XLOOKUP(1,('Working table'!$B$2:$B$100=Xlookup_table!$B40)*('Working table'!$M$2:$M$100=Xlookup_table!D$1),'Working table'!$L$2:$L$100,"")</f>
        <v>2583 ±14 (Xtm)</v>
      </c>
      <c r="E40" s="2" t="str" cm="1">
        <f t="array" ref="E40">_xlfn.XLOOKUP(1,('Working table'!$B$2:$B$100=Xlookup_table!$B40)*('Working table'!$M$2:$M$100=Xlookup_table!E$1),'Working table'!$L$2:$L$100,"")</f>
        <v>1821.9 ±2 (Xtm)</v>
      </c>
      <c r="F40" s="2" t="str" cm="1">
        <f t="array" ref="F40">_xlfn.XLOOKUP(1,('Working table'!$B$2:$B$98=Xlookup_table!$B40)*('Working table'!$M$2:$M$98=Xlookup_table!F$1),'Working table'!$L$2:$L$98,"")</f>
        <v/>
      </c>
      <c r="G40" s="2" t="str" cm="1">
        <f t="array" ref="G40">_xlfn.XLOOKUP(1,('Working table'!$B$2:$B$98=Xlookup_table!$B40)*('Working table'!$M$2:$M$98=Xlookup_table!G$1),'Working table'!$L$2:$L$98,"")</f>
        <v/>
      </c>
      <c r="H40" s="1" t="str">
        <f>_xlfn.XLOOKUP(B40,No_duplicates!$A$2:$A$110,No_duplicates!$C$2:$C$110,"")</f>
        <v>Russel Lake</v>
      </c>
      <c r="I40" s="1" t="str">
        <f>IF(_xlfn.XLOOKUP(B40,No_duplicates!$A$2:$A$110,No_duplicates!$D$2:$D$110,"")=0,"",_xlfn.XLOOKUP(B40,No_duplicates!$A$2:$A$110,No_duplicates!$D$2:$D$110))</f>
        <v>Annesley et al. 2007</v>
      </c>
    </row>
    <row r="41" spans="2:9" x14ac:dyDescent="0.25">
      <c r="B41" s="20" t="s">
        <v>287</v>
      </c>
      <c r="C41" s="18" t="str">
        <f>_xlfn.XLOOKUP(B41,No_duplicates!$A$2:$A$110,No_duplicates!$B$2:$B$110,"")</f>
        <v>Pegmatite</v>
      </c>
      <c r="D41" s="2" t="str" cm="1">
        <f t="array" ref="D41">_xlfn.XLOOKUP(1,('Working table'!$B$2:$B$100=Xlookup_table!$B41)*('Working table'!$M$2:$M$100=Xlookup_table!D$1),'Working table'!$L$2:$L$100,"")</f>
        <v>1830 ±5 (Xtm)</v>
      </c>
      <c r="E41" s="2" t="str" cm="1">
        <f t="array" ref="E41">_xlfn.XLOOKUP(1,('Working table'!$B$2:$B$100=Xlookup_table!$B41)*('Working table'!$M$2:$M$100=Xlookup_table!E$1),'Working table'!$L$2:$L$100,"")</f>
        <v/>
      </c>
      <c r="F41" s="2" t="str" cm="1">
        <f t="array" ref="F41">_xlfn.XLOOKUP(1,('Working table'!$B$2:$B$98=Xlookup_table!$B41)*('Working table'!$M$2:$M$98=Xlookup_table!F$1),'Working table'!$L$2:$L$98,"")</f>
        <v/>
      </c>
      <c r="G41" s="2" t="str" cm="1">
        <f t="array" ref="G41">_xlfn.XLOOKUP(1,('Working table'!$B$2:$B$98=Xlookup_table!$B41)*('Working table'!$M$2:$M$98=Xlookup_table!G$1),'Working table'!$L$2:$L$98,"")</f>
        <v/>
      </c>
      <c r="H41" s="1" t="str">
        <f>_xlfn.XLOOKUP(B41,No_duplicates!$A$2:$A$110,No_duplicates!$C$2:$C$110,"")</f>
        <v>Kulyk</v>
      </c>
      <c r="I41" s="1" t="str">
        <f>IF(_xlfn.XLOOKUP(B41,No_duplicates!$A$2:$A$110,No_duplicates!$D$2:$D$110,"")=0,"",_xlfn.XLOOKUP(B41,No_duplicates!$A$2:$A$110,No_duplicates!$D$2:$D$110))</f>
        <v>McFarlane and McKeough, 2013</v>
      </c>
    </row>
    <row r="42" spans="2:9" x14ac:dyDescent="0.25">
      <c r="B42" s="20" t="s">
        <v>44</v>
      </c>
      <c r="C42" s="18" t="str">
        <f>_xlfn.XLOOKUP(B42,No_duplicates!$A$2:$A$110,No_duplicates!$B$2:$B$110,"")</f>
        <v>Grey Orthogneiss</v>
      </c>
      <c r="D42" s="2" t="str" cm="1">
        <f t="array" ref="D42">_xlfn.XLOOKUP(1,('Working table'!$B$2:$B$100=Xlookup_table!$B42)*('Working table'!$M$2:$M$100=Xlookup_table!D$1),'Working table'!$L$2:$L$100,"")</f>
        <v>2786 ±7 (Xtm)</v>
      </c>
      <c r="E42" s="2" t="str" cm="1">
        <f t="array" ref="E42">_xlfn.XLOOKUP(1,('Working table'!$B$2:$B$100=Xlookup_table!$B42)*('Working table'!$M$2:$M$100=Xlookup_table!E$1),'Working table'!$L$2:$L$100,"")</f>
        <v>1813 ±6 (Xtm)</v>
      </c>
      <c r="F42" s="2" t="str" cm="1">
        <f t="array" ref="F42">_xlfn.XLOOKUP(1,('Working table'!$B$2:$B$98=Xlookup_table!$B42)*('Working table'!$M$2:$M$98=Xlookup_table!F$1),'Working table'!$L$2:$L$98,"")</f>
        <v/>
      </c>
      <c r="G42" s="2" t="str" cm="1">
        <f t="array" ref="G42">_xlfn.XLOOKUP(1,('Working table'!$B$2:$B$98=Xlookup_table!$B42)*('Working table'!$M$2:$M$98=Xlookup_table!G$1),'Working table'!$L$2:$L$98,"")</f>
        <v/>
      </c>
      <c r="H42" s="1" t="str">
        <f>_xlfn.XLOOKUP(B42,No_duplicates!$A$2:$A$110,No_duplicates!$C$2:$C$110,"")</f>
        <v>P-Patch</v>
      </c>
      <c r="I42" s="1" t="str">
        <f>IF(_xlfn.XLOOKUP(B42,No_duplicates!$A$2:$A$110,No_duplicates!$D$2:$D$110,"")=0,"",_xlfn.XLOOKUP(B42,No_duplicates!$A$2:$A$110,No_duplicates!$D$2:$D$110))</f>
        <v>Annesley et al. 1999b</v>
      </c>
    </row>
    <row r="43" spans="2:9" x14ac:dyDescent="0.25">
      <c r="B43" s="20" t="s">
        <v>46</v>
      </c>
      <c r="C43" s="18" t="str">
        <f>_xlfn.XLOOKUP(B43,No_duplicates!$A$2:$A$110,No_duplicates!$B$2:$B$110,"")</f>
        <v>Pegmatite</v>
      </c>
      <c r="D43" s="2" t="str" cm="1">
        <f t="array" ref="D43">_xlfn.XLOOKUP(1,('Working table'!$B$2:$B$100=Xlookup_table!$B43)*('Working table'!$M$2:$M$100=Xlookup_table!D$1),'Working table'!$L$2:$L$100,"")</f>
        <v>1812 ±2 (Xtm)</v>
      </c>
      <c r="E43" s="2" t="str" cm="1">
        <f t="array" ref="E43">_xlfn.XLOOKUP(1,('Working table'!$B$2:$B$100=Xlookup_table!$B43)*('Working table'!$M$2:$M$100=Xlookup_table!E$1),'Working table'!$L$2:$L$100,"")</f>
        <v/>
      </c>
      <c r="F43" s="2" t="str" cm="1">
        <f t="array" ref="F43">_xlfn.XLOOKUP(1,('Working table'!$B$2:$B$98=Xlookup_table!$B43)*('Working table'!$M$2:$M$98=Xlookup_table!F$1),'Working table'!$L$2:$L$98,"")</f>
        <v/>
      </c>
      <c r="G43" s="2" t="str" cm="1">
        <f t="array" ref="G43">_xlfn.XLOOKUP(1,('Working table'!$B$2:$B$98=Xlookup_table!$B43)*('Working table'!$M$2:$M$98=Xlookup_table!G$1),'Working table'!$L$2:$L$98,"")</f>
        <v/>
      </c>
      <c r="H43" s="1" t="str">
        <f>_xlfn.XLOOKUP(B43,No_duplicates!$A$2:$A$110,No_duplicates!$C$2:$C$110,"")</f>
        <v>P-Patch</v>
      </c>
      <c r="I43" s="1" t="str">
        <f>IF(_xlfn.XLOOKUP(B43,No_duplicates!$A$2:$A$110,No_duplicates!$D$2:$D$110,"")=0,"",_xlfn.XLOOKUP(B43,No_duplicates!$A$2:$A$110,No_duplicates!$D$2:$D$110))</f>
        <v>Annesley et al. 1999b</v>
      </c>
    </row>
    <row r="44" spans="2:9" x14ac:dyDescent="0.25">
      <c r="B44" s="20" t="s">
        <v>56</v>
      </c>
      <c r="C44" s="18" t="str">
        <f>_xlfn.XLOOKUP(B44,No_duplicates!$A$2:$A$110,No_duplicates!$B$2:$B$110,"")</f>
        <v>Tonalitic Gneiss</v>
      </c>
      <c r="D44" s="2" t="str" cm="1">
        <f t="array" ref="D44">_xlfn.XLOOKUP(1,('Working table'!$B$2:$B$100=Xlookup_table!$B44)*('Working table'!$M$2:$M$100=Xlookup_table!D$1),'Working table'!$L$2:$L$100,"")</f>
        <v>2717 ±12 (Xtm)</v>
      </c>
      <c r="E44" s="2" t="str" cm="1">
        <f t="array" ref="E44">_xlfn.XLOOKUP(1,('Working table'!$B$2:$B$100=Xlookup_table!$B44)*('Working table'!$M$2:$M$100=Xlookup_table!E$1),'Working table'!$L$2:$L$100,"")</f>
        <v>1802 ±2 (Xtm)</v>
      </c>
      <c r="F44" s="2" t="str" cm="1">
        <f t="array" ref="F44">_xlfn.XLOOKUP(1,('Working table'!$B$2:$B$98=Xlookup_table!$B44)*('Working table'!$M$2:$M$98=Xlookup_table!F$1),'Working table'!$L$2:$L$98,"")</f>
        <v/>
      </c>
      <c r="G44" s="2" t="str" cm="1">
        <f t="array" ref="G44">_xlfn.XLOOKUP(1,('Working table'!$B$2:$B$98=Xlookup_table!$B44)*('Working table'!$M$2:$M$98=Xlookup_table!G$1),'Working table'!$L$2:$L$98,"")</f>
        <v/>
      </c>
      <c r="H44" s="1" t="str">
        <f>_xlfn.XLOOKUP(B44,No_duplicates!$A$2:$A$110,No_duplicates!$C$2:$C$110,"")</f>
        <v>Sue 2 - Collins Bay</v>
      </c>
      <c r="I44" s="1" t="str">
        <f>IF(_xlfn.XLOOKUP(B44,No_duplicates!$A$2:$A$110,No_duplicates!$D$2:$D$110,"")=0,"",_xlfn.XLOOKUP(B44,No_duplicates!$A$2:$A$110,No_duplicates!$D$2:$D$110))</f>
        <v>Annesley et al. 1997</v>
      </c>
    </row>
    <row r="45" spans="2:9" x14ac:dyDescent="0.25">
      <c r="B45" s="20" t="s">
        <v>49</v>
      </c>
      <c r="C45" s="18" t="str">
        <f>_xlfn.XLOOKUP(B45,No_duplicates!$A$2:$A$110,No_duplicates!$B$2:$B$110,"")</f>
        <v>Migmatitic Tonalitic Gneiss</v>
      </c>
      <c r="D45" s="2" t="str" cm="1">
        <f t="array" ref="D45">_xlfn.XLOOKUP(1,('Working table'!$B$2:$B$100=Xlookup_table!$B45)*('Working table'!$M$2:$M$100=Xlookup_table!D$1),'Working table'!$L$2:$L$100,"")</f>
        <v/>
      </c>
      <c r="E45" s="2" t="str" cm="1">
        <f t="array" ref="E45">_xlfn.XLOOKUP(1,('Working table'!$B$2:$B$100=Xlookup_table!$B45)*('Working table'!$M$2:$M$100=Xlookup_table!E$1),'Working table'!$L$2:$L$100,"")</f>
        <v>1814 ±5 (Xtm)</v>
      </c>
      <c r="F45" s="2" t="str" cm="1">
        <f t="array" ref="F45">_xlfn.XLOOKUP(1,('Working table'!$B$2:$B$98=Xlookup_table!$B45)*('Working table'!$M$2:$M$98=Xlookup_table!F$1),'Working table'!$L$2:$L$98,"")</f>
        <v/>
      </c>
      <c r="G45" s="2" t="str" cm="1">
        <f t="array" ref="G45">_xlfn.XLOOKUP(1,('Working table'!$B$2:$B$98=Xlookup_table!$B45)*('Working table'!$M$2:$M$98=Xlookup_table!G$1),'Working table'!$L$2:$L$98,"")</f>
        <v/>
      </c>
      <c r="H45" s="1" t="str">
        <f>_xlfn.XLOOKUP(B45,No_duplicates!$A$2:$A$110,No_duplicates!$C$2:$C$110,"")</f>
        <v>Jeb</v>
      </c>
      <c r="I45" s="1" t="str">
        <f>IF(_xlfn.XLOOKUP(B45,No_duplicates!$A$2:$A$110,No_duplicates!$D$2:$D$110,"")=0,"",_xlfn.XLOOKUP(B45,No_duplicates!$A$2:$A$110,No_duplicates!$D$2:$D$110))</f>
        <v>Annesley et al. 1997</v>
      </c>
    </row>
    <row r="46" spans="2:9" x14ac:dyDescent="0.25">
      <c r="B46" s="20" t="s">
        <v>53</v>
      </c>
      <c r="C46" s="18" t="str">
        <f>_xlfn.XLOOKUP(B46,No_duplicates!$A$2:$A$110,No_duplicates!$B$2:$B$110,"")</f>
        <v>Pegmatite</v>
      </c>
      <c r="D46" s="2" t="str" cm="1">
        <f t="array" ref="D46">_xlfn.XLOOKUP(1,('Working table'!$B$2:$B$100=Xlookup_table!$B46)*('Working table'!$M$2:$M$100=Xlookup_table!D$1),'Working table'!$L$2:$L$100,"")</f>
        <v>1810 ±3 (Xtm)</v>
      </c>
      <c r="E46" s="2" t="str" cm="1">
        <f t="array" ref="E46">_xlfn.XLOOKUP(1,('Working table'!$B$2:$B$100=Xlookup_table!$B46)*('Working table'!$M$2:$M$100=Xlookup_table!E$1),'Working table'!$L$2:$L$100,"")</f>
        <v/>
      </c>
      <c r="F46" s="2" t="str" cm="1">
        <f t="array" ref="F46">_xlfn.XLOOKUP(1,('Working table'!$B$2:$B$98=Xlookup_table!$B46)*('Working table'!$M$2:$M$98=Xlookup_table!F$1),'Working table'!$L$2:$L$98,"")</f>
        <v/>
      </c>
      <c r="G46" s="2" t="str" cm="1">
        <f t="array" ref="G46">_xlfn.XLOOKUP(1,('Working table'!$B$2:$B$98=Xlookup_table!$B46)*('Working table'!$M$2:$M$98=Xlookup_table!G$1),'Working table'!$L$2:$L$98,"")</f>
        <v/>
      </c>
      <c r="H46" s="1" t="str">
        <f>_xlfn.XLOOKUP(B46,No_duplicates!$A$2:$A$110,No_duplicates!$C$2:$C$110,"")</f>
        <v>Sue 2 - McClean Lake</v>
      </c>
      <c r="I46" s="1" t="str">
        <f>IF(_xlfn.XLOOKUP(B46,No_duplicates!$A$2:$A$110,No_duplicates!$D$2:$D$110,"")=0,"",_xlfn.XLOOKUP(B46,No_duplicates!$A$2:$A$110,No_duplicates!$D$2:$D$110))</f>
        <v>Annesley and Madore, 1997</v>
      </c>
    </row>
    <row r="47" spans="2:9" x14ac:dyDescent="0.25">
      <c r="B47" s="20" t="s">
        <v>54</v>
      </c>
      <c r="C47" s="18" t="str">
        <f>_xlfn.XLOOKUP(B47,No_duplicates!$A$2:$A$110,No_duplicates!$B$2:$B$110,"")</f>
        <v>Tonalitic Gneiss</v>
      </c>
      <c r="D47" s="2" t="str" cm="1">
        <f t="array" ref="D47">_xlfn.XLOOKUP(1,('Working table'!$B$2:$B$100=Xlookup_table!$B47)*('Working table'!$M$2:$M$100=Xlookup_table!D$1),'Working table'!$L$2:$L$100,"")</f>
        <v>2706 ±5 (Ttn)</v>
      </c>
      <c r="E47" s="2" t="str" cm="1">
        <f t="array" ref="E47">_xlfn.XLOOKUP(1,('Working table'!$B$2:$B$100=Xlookup_table!$B47)*('Working table'!$M$2:$M$100=Xlookup_table!E$1),'Working table'!$L$2:$L$100,"")</f>
        <v>1804 ±8 (Xtm)</v>
      </c>
      <c r="F47" s="2" t="str" cm="1">
        <f t="array" ref="F47">_xlfn.XLOOKUP(1,('Working table'!$B$2:$B$98=Xlookup_table!$B47)*('Working table'!$M$2:$M$98=Xlookup_table!F$1),'Working table'!$L$2:$L$98,"")</f>
        <v/>
      </c>
      <c r="G47" s="2" t="str" cm="1">
        <f t="array" ref="G47">_xlfn.XLOOKUP(1,('Working table'!$B$2:$B$98=Xlookup_table!$B47)*('Working table'!$M$2:$M$98=Xlookup_table!G$1),'Working table'!$L$2:$L$98,"")</f>
        <v/>
      </c>
      <c r="H47" s="1" t="str">
        <f>_xlfn.XLOOKUP(B47,No_duplicates!$A$2:$A$110,No_duplicates!$C$2:$C$110,"")</f>
        <v>Sue 2 - Collins Bay</v>
      </c>
      <c r="I47" s="1" t="str">
        <f>IF(_xlfn.XLOOKUP(B47,No_duplicates!$A$2:$A$110,No_duplicates!$D$2:$D$110,"")=0,"",_xlfn.XLOOKUP(B47,No_duplicates!$A$2:$A$110,No_duplicates!$D$2:$D$110))</f>
        <v>Annesley et al. 1996</v>
      </c>
    </row>
    <row r="48" spans="2:9" x14ac:dyDescent="0.25">
      <c r="B48" s="20" t="s">
        <v>66</v>
      </c>
      <c r="C48" s="18" t="str">
        <f>_xlfn.XLOOKUP(B48,No_duplicates!$A$2:$A$110,No_duplicates!$B$2:$B$110,"")</f>
        <v>Foliated leucotonalite (Trondhjemite)</v>
      </c>
      <c r="D48" s="2" t="str" cm="1">
        <f t="array" ref="D48">_xlfn.XLOOKUP(1,('Working table'!$B$2:$B$100=Xlookup_table!$B48)*('Working table'!$M$2:$M$100=Xlookup_table!D$1),'Working table'!$L$2:$L$100,"")</f>
        <v/>
      </c>
      <c r="E48" s="2" t="str" cm="1">
        <f t="array" ref="E48">_xlfn.XLOOKUP(1,('Working table'!$B$2:$B$100=Xlookup_table!$B48)*('Working table'!$M$2:$M$100=Xlookup_table!E$1),'Working table'!$L$2:$L$100,"")</f>
        <v>1752 ±2 (Xtm)</v>
      </c>
      <c r="F48" s="2" t="str" cm="1">
        <f t="array" ref="F48">_xlfn.XLOOKUP(1,('Working table'!$B$2:$B$98=Xlookup_table!$B48)*('Working table'!$M$2:$M$98=Xlookup_table!F$1),'Working table'!$L$2:$L$98,"")</f>
        <v/>
      </c>
      <c r="G48" s="2" t="str" cm="1">
        <f t="array" ref="G48">_xlfn.XLOOKUP(1,('Working table'!$B$2:$B$98=Xlookup_table!$B48)*('Working table'!$M$2:$M$98=Xlookup_table!G$1),'Working table'!$L$2:$L$98,"")</f>
        <v/>
      </c>
      <c r="H48" s="1" t="str">
        <f>_xlfn.XLOOKUP(B48,No_duplicates!$A$2:$A$110,No_duplicates!$C$2:$C$110,"")</f>
        <v>McClean Lake-Collins Creek</v>
      </c>
      <c r="I48" s="1" t="str">
        <f>IF(_xlfn.XLOOKUP(B48,No_duplicates!$A$2:$A$110,No_duplicates!$D$2:$D$110,"")=0,"",_xlfn.XLOOKUP(B48,No_duplicates!$A$2:$A$110,No_duplicates!$D$2:$D$110))</f>
        <v>Annesley et al. 1996</v>
      </c>
    </row>
    <row r="49" spans="2:9" x14ac:dyDescent="0.25">
      <c r="B49" s="20" t="s">
        <v>244</v>
      </c>
      <c r="C49" s="18" t="str">
        <f>_xlfn.XLOOKUP(B49,No_duplicates!$A$2:$A$110,No_duplicates!$B$2:$B$110,"")</f>
        <v>Granitic pegmatite</v>
      </c>
      <c r="D49" s="2" t="str" cm="1">
        <f t="array" ref="D49">_xlfn.XLOOKUP(1,('Working table'!$B$2:$B$100=Xlookup_table!$B49)*('Working table'!$M$2:$M$100=Xlookup_table!D$1),'Working table'!$L$2:$L$100,"")</f>
        <v/>
      </c>
      <c r="E49" s="2" t="str" cm="1">
        <f t="array" ref="E49">_xlfn.XLOOKUP(1,('Working table'!$B$2:$B$100=Xlookup_table!$B49)*('Working table'!$M$2:$M$100=Xlookup_table!E$1),'Working table'!$L$2:$L$100,"")</f>
        <v/>
      </c>
      <c r="F49" s="2" t="str" cm="1">
        <f t="array" ref="F49">_xlfn.XLOOKUP(1,('Working table'!$B$2:$B$98=Xlookup_table!$B49)*('Working table'!$M$2:$M$98=Xlookup_table!F$1),'Working table'!$L$2:$L$98,"")</f>
        <v/>
      </c>
      <c r="G49" s="2" t="str" cm="1">
        <f t="array" ref="G49">_xlfn.XLOOKUP(1,('Working table'!$B$2:$B$98=Xlookup_table!$B49)*('Working table'!$M$2:$M$98=Xlookup_table!G$1),'Working table'!$L$2:$L$98,"")</f>
        <v>2.05-2.25 Ga  (Xtm)</v>
      </c>
      <c r="H49" s="1" t="str">
        <f>_xlfn.XLOOKUP(B49,No_duplicates!$A$2:$A$110,No_duplicates!$C$2:$C$110,"")</f>
        <v>Fraser Lake Zone B -Group B</v>
      </c>
      <c r="I49" s="1" t="str">
        <f>IF(_xlfn.XLOOKUP(B49,No_duplicates!$A$2:$A$110,No_duplicates!$D$2:$D$110,"")=0,"",_xlfn.XLOOKUP(B49,No_duplicates!$A$2:$A$110,No_duplicates!$D$2:$D$110))</f>
        <v>McKechnie et al., 2013</v>
      </c>
    </row>
    <row r="50" spans="2:9" x14ac:dyDescent="0.25">
      <c r="B50" s="20" t="s">
        <v>239</v>
      </c>
      <c r="C50" s="18" t="str">
        <f>_xlfn.XLOOKUP(B50,No_duplicates!$A$2:$A$110,No_duplicates!$B$2:$B$110,"")</f>
        <v>Granitic pegmatite</v>
      </c>
      <c r="D50" s="2" t="str" cm="1">
        <f t="array" ref="D50">_xlfn.XLOOKUP(1,('Working table'!$B$2:$B$100=Xlookup_table!$B50)*('Working table'!$M$2:$M$100=Xlookup_table!D$1),'Working table'!$L$2:$L$100,"")</f>
        <v>1.8-1.85 Ga  (Ttn)</v>
      </c>
      <c r="E50" s="2" t="str" cm="1">
        <f t="array" ref="E50">_xlfn.XLOOKUP(1,('Working table'!$B$2:$B$100=Xlookup_table!$B50)*('Working table'!$M$2:$M$100=Xlookup_table!E$1),'Working table'!$L$2:$L$100,"")</f>
        <v/>
      </c>
      <c r="F50" s="2" t="str" cm="1">
        <f t="array" ref="F50">_xlfn.XLOOKUP(1,('Working table'!$B$2:$B$98=Xlookup_table!$B50)*('Working table'!$M$2:$M$98=Xlookup_table!F$1),'Working table'!$L$2:$L$98,"")</f>
        <v/>
      </c>
      <c r="G50" s="2" t="str" cm="1">
        <f t="array" ref="G50">_xlfn.XLOOKUP(1,('Working table'!$B$2:$B$98=Xlookup_table!$B50)*('Working table'!$M$2:$M$98=Xlookup_table!G$1),'Working table'!$L$2:$L$98,"")</f>
        <v/>
      </c>
      <c r="H50" s="1" t="str">
        <f>_xlfn.XLOOKUP(B50,No_duplicates!$A$2:$A$110,No_duplicates!$C$2:$C$110,"")</f>
        <v>Fraser Lake Zone B -Group A</v>
      </c>
      <c r="I50" s="1" t="str">
        <f>IF(_xlfn.XLOOKUP(B50,No_duplicates!$A$2:$A$110,No_duplicates!$D$2:$D$110,"")=0,"",_xlfn.XLOOKUP(B50,No_duplicates!$A$2:$A$110,No_duplicates!$D$2:$D$110))</f>
        <v>McKechnie et al., 2012</v>
      </c>
    </row>
    <row r="51" spans="2:9" x14ac:dyDescent="0.25">
      <c r="B51" s="20" t="s">
        <v>39</v>
      </c>
      <c r="C51" s="18" t="str">
        <f>_xlfn.XLOOKUP(B51,No_duplicates!$A$2:$A$110,No_duplicates!$B$2:$B$110,"")</f>
        <v>Migmatitic Pelitic Gneiss</v>
      </c>
      <c r="D51" s="2" t="str" cm="1">
        <f t="array" ref="D51">_xlfn.XLOOKUP(1,('Working table'!$B$2:$B$100=Xlookup_table!$B51)*('Working table'!$M$2:$M$100=Xlookup_table!D$1),'Working table'!$L$2:$L$100,"")</f>
        <v/>
      </c>
      <c r="E51" s="2" t="str" cm="1">
        <f t="array" ref="E51">_xlfn.XLOOKUP(1,('Working table'!$B$2:$B$100=Xlookup_table!$B51)*('Working table'!$M$2:$M$100=Xlookup_table!E$1),'Working table'!$L$2:$L$100,"")</f>
        <v>1800 ±2 (Ttn)</v>
      </c>
      <c r="F51" s="2" t="str" cm="1">
        <f t="array" ref="F51">_xlfn.XLOOKUP(1,('Working table'!$B$2:$B$98=Xlookup_table!$B51)*('Working table'!$M$2:$M$98=Xlookup_table!F$1),'Working table'!$L$2:$L$98,"")</f>
        <v/>
      </c>
      <c r="G51" s="2" t="str" cm="1">
        <f t="array" ref="G51">_xlfn.XLOOKUP(1,('Working table'!$B$2:$B$98=Xlookup_table!$B51)*('Working table'!$M$2:$M$98=Xlookup_table!G$1),'Working table'!$L$2:$L$98,"")</f>
        <v/>
      </c>
      <c r="H51" s="1" t="str">
        <f>_xlfn.XLOOKUP(B51,No_duplicates!$A$2:$A$110,No_duplicates!$C$2:$C$110,"")</f>
        <v>Wheeler River</v>
      </c>
      <c r="I51" s="1" t="str">
        <f>IF(_xlfn.XLOOKUP(B51,No_duplicates!$A$2:$A$110,No_duplicates!$D$2:$D$110,"")=0,"",_xlfn.XLOOKUP(B51,No_duplicates!$A$2:$A$110,No_duplicates!$D$2:$D$110))</f>
        <v>Annesley et al. 1999</v>
      </c>
    </row>
    <row r="52" spans="2:9" x14ac:dyDescent="0.25">
      <c r="B52" s="20" t="s">
        <v>37</v>
      </c>
      <c r="C52" s="18" t="str">
        <f>_xlfn.XLOOKUP(B52,No_duplicates!$A$2:$A$110,No_duplicates!$B$2:$B$110,"")</f>
        <v>Foliated Granite</v>
      </c>
      <c r="D52" s="2" t="str" cm="1">
        <f t="array" ref="D52">_xlfn.XLOOKUP(1,('Working table'!$B$2:$B$100=Xlookup_table!$B52)*('Working table'!$M$2:$M$100=Xlookup_table!D$1),'Working table'!$L$2:$L$100,"")</f>
        <v>1818 ±1 (Xtm)</v>
      </c>
      <c r="E52" s="2" t="str" cm="1">
        <f t="array" ref="E52">_xlfn.XLOOKUP(1,('Working table'!$B$2:$B$100=Xlookup_table!$B52)*('Working table'!$M$2:$M$100=Xlookup_table!E$1),'Working table'!$L$2:$L$100,"")</f>
        <v>1783 ±2 (Xtm)</v>
      </c>
      <c r="F52" s="2" t="str" cm="1">
        <f t="array" ref="F52">_xlfn.XLOOKUP(1,('Working table'!$B$2:$B$98=Xlookup_table!$B52)*('Working table'!$M$2:$M$98=Xlookup_table!F$1),'Working table'!$L$2:$L$98,"")</f>
        <v/>
      </c>
      <c r="G52" s="2" t="str" cm="1">
        <f t="array" ref="G52">_xlfn.XLOOKUP(1,('Working table'!$B$2:$B$98=Xlookup_table!$B52)*('Working table'!$M$2:$M$98=Xlookup_table!G$1),'Working table'!$L$2:$L$98,"")</f>
        <v/>
      </c>
      <c r="H52" s="1" t="str">
        <f>_xlfn.XLOOKUP(B52,No_duplicates!$A$2:$A$110,No_duplicates!$C$2:$C$110,"")</f>
        <v>Wheeler River</v>
      </c>
      <c r="I52" s="1" t="str">
        <f>IF(_xlfn.XLOOKUP(B52,No_duplicates!$A$2:$A$110,No_duplicates!$D$2:$D$110,"")=0,"",_xlfn.XLOOKUP(B52,No_duplicates!$A$2:$A$110,No_duplicates!$D$2:$D$110))</f>
        <v>Annesley et al. 1999</v>
      </c>
    </row>
    <row r="53" spans="2:9" x14ac:dyDescent="0.25">
      <c r="B53" s="20" t="s">
        <v>309</v>
      </c>
      <c r="C53" s="18" t="str">
        <f>_xlfn.XLOOKUP(B53,No_duplicates!$A$2:$A$110,No_duplicates!$B$2:$B$110,"")</f>
        <v>Porphyritic granite</v>
      </c>
      <c r="D53" s="2" t="str" cm="1">
        <f t="array" ref="D53">_xlfn.XLOOKUP(1,('Working table'!$B$2:$B$100=Xlookup_table!$B53)*('Working table'!$M$2:$M$100=Xlookup_table!D$1),'Working table'!$L$2:$L$100,"")</f>
        <v>1824 ±3 (Ttn)</v>
      </c>
      <c r="E53" s="2" t="str" cm="1">
        <f t="array" ref="E53">_xlfn.XLOOKUP(1,('Working table'!$B$2:$B$100=Xlookup_table!$B53)*('Working table'!$M$2:$M$100=Xlookup_table!E$1),'Working table'!$L$2:$L$100,"")</f>
        <v/>
      </c>
      <c r="F53" s="2" t="str" cm="1">
        <f t="array" ref="F53">_xlfn.XLOOKUP(1,('Working table'!$B$2:$B$98=Xlookup_table!$B53)*('Working table'!$M$2:$M$98=Xlookup_table!F$1),'Working table'!$L$2:$L$98,"")</f>
        <v/>
      </c>
      <c r="G53" s="2" t="str" cm="1">
        <f t="array" ref="G53">_xlfn.XLOOKUP(1,('Working table'!$B$2:$B$98=Xlookup_table!$B53)*('Working table'!$M$2:$M$98=Xlookup_table!G$1),'Working table'!$L$2:$L$98,"")</f>
        <v/>
      </c>
      <c r="H53" s="1" t="str">
        <f>_xlfn.XLOOKUP(B53,No_duplicates!$A$2:$A$110,No_duplicates!$C$2:$C$110,"")</f>
        <v>Wheeler River</v>
      </c>
      <c r="I53" s="1" t="str">
        <f>IF(_xlfn.XLOOKUP(B53,No_duplicates!$A$2:$A$110,No_duplicates!$D$2:$D$110,"")=0,"",_xlfn.XLOOKUP(B53,No_duplicates!$A$2:$A$110,No_duplicates!$D$2:$D$110))</f>
        <v>Annesley et al. 1999</v>
      </c>
    </row>
    <row r="54" spans="2:9" x14ac:dyDescent="0.25">
      <c r="B54" s="20" t="s">
        <v>418</v>
      </c>
      <c r="C54" s="18" t="str">
        <f>_xlfn.XLOOKUP(B54,No_duplicates!$A$2:$A$110,No_duplicates!$B$2:$B$110,"")</f>
        <v>Leucogranite</v>
      </c>
      <c r="D54" s="2" t="str" cm="1">
        <f t="array" ref="D54">_xlfn.XLOOKUP(1,('Working table'!$B$2:$B$100=Xlookup_table!$B54)*('Working table'!$M$2:$M$100=Xlookup_table!D$1),'Working table'!$L$2:$L$100,"")</f>
        <v>1816 ±1 (Xtm)</v>
      </c>
      <c r="E54" s="2" t="str" cm="1">
        <f t="array" ref="E54">_xlfn.XLOOKUP(1,('Working table'!$B$2:$B$100=Xlookup_table!$B54)*('Working table'!$M$2:$M$100=Xlookup_table!E$1),'Working table'!$L$2:$L$100,"")</f>
        <v/>
      </c>
      <c r="H54" s="1" t="str">
        <f>_xlfn.XLOOKUP(B54,No_duplicates!$A$2:$A$110,No_duplicates!$C$2:$C$110,"")</f>
        <v>McArthur River</v>
      </c>
      <c r="I54" s="1" t="str">
        <f>IF(_xlfn.XLOOKUP(B54,No_duplicates!$A$2:$A$110,No_duplicates!$D$2:$D$110,"")=0,"",_xlfn.XLOOKUP(B54,No_duplicates!$A$2:$A$110,No_duplicates!$D$2:$D$110))</f>
        <v>Annesley et al. 2007</v>
      </c>
    </row>
  </sheetData>
  <autoFilter ref="B1:G54" xr:uid="{BFECF453-66E8-4A60-86AF-FC3A9CB692B9}">
    <sortState xmlns:xlrd2="http://schemas.microsoft.com/office/spreadsheetml/2017/richdata2" ref="B2:G54">
      <sortCondition ref="B1:B54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B594B-348F-44DF-BF64-C3AE66B7D1C8}">
  <dimension ref="B2:J58"/>
  <sheetViews>
    <sheetView topLeftCell="A16" workbookViewId="0">
      <selection activeCell="B57" sqref="B57"/>
    </sheetView>
  </sheetViews>
  <sheetFormatPr defaultRowHeight="15" x14ac:dyDescent="0.25"/>
  <cols>
    <col min="2" max="2" width="10.28515625" bestFit="1" customWidth="1"/>
    <col min="3" max="3" width="40.5703125" bestFit="1" customWidth="1"/>
  </cols>
  <sheetData>
    <row r="2" spans="2:10" ht="102.75" x14ac:dyDescent="0.25">
      <c r="B2" s="17" t="s">
        <v>288</v>
      </c>
      <c r="C2" s="17" t="s">
        <v>289</v>
      </c>
    </row>
    <row r="3" spans="2:10" x14ac:dyDescent="0.25">
      <c r="B3" s="2" t="str" cm="1">
        <f t="array" ref="B3:B58">_xlfn.UNIQUE('Working table'!B2:B101)</f>
        <v>CX-28</v>
      </c>
      <c r="C3" s="2" t="str" cm="1">
        <f t="array" ref="C3:C8">_xlfn.UNIQUE('Working table'!M2:M98)</f>
        <v>Metamorphic age</v>
      </c>
      <c r="F3" t="s">
        <v>5</v>
      </c>
      <c r="G3" t="s">
        <v>47</v>
      </c>
      <c r="H3" t="s">
        <v>13</v>
      </c>
      <c r="I3" t="s">
        <v>165</v>
      </c>
      <c r="J3" t="s">
        <v>247</v>
      </c>
    </row>
    <row r="4" spans="2:10" x14ac:dyDescent="0.25">
      <c r="B4" t="str">
        <v>A88-042</v>
      </c>
      <c r="C4" t="str">
        <v>Crystallization age</v>
      </c>
      <c r="F4" t="s">
        <v>5</v>
      </c>
      <c r="G4" t="s">
        <v>47</v>
      </c>
      <c r="H4" t="s">
        <v>13</v>
      </c>
      <c r="I4" t="s">
        <v>165</v>
      </c>
      <c r="J4" t="s">
        <v>247</v>
      </c>
    </row>
    <row r="5" spans="2:10" x14ac:dyDescent="0.25">
      <c r="B5" t="str">
        <v>A91-015</v>
      </c>
      <c r="C5" t="str">
        <v>Hudsonian metamorphism</v>
      </c>
      <c r="F5" t="s">
        <v>5</v>
      </c>
      <c r="G5" t="s">
        <v>47</v>
      </c>
      <c r="H5" t="s">
        <v>13</v>
      </c>
      <c r="I5" t="s">
        <v>165</v>
      </c>
      <c r="J5" t="s">
        <v>247</v>
      </c>
    </row>
    <row r="6" spans="2:10" x14ac:dyDescent="0.25">
      <c r="B6" t="str">
        <v>A88-036</v>
      </c>
      <c r="C6" t="str">
        <v>Inherited age</v>
      </c>
      <c r="F6" t="s">
        <v>5</v>
      </c>
      <c r="G6" t="s">
        <v>47</v>
      </c>
      <c r="H6" t="s">
        <v>13</v>
      </c>
      <c r="I6" t="s">
        <v>165</v>
      </c>
      <c r="J6" t="s">
        <v>247</v>
      </c>
    </row>
    <row r="7" spans="2:10" x14ac:dyDescent="0.25">
      <c r="B7" t="str">
        <v>A93-036</v>
      </c>
      <c r="C7" t="str">
        <v>Detrital age</v>
      </c>
      <c r="F7" t="s">
        <v>5</v>
      </c>
      <c r="G7" t="s">
        <v>47</v>
      </c>
      <c r="H7" t="s">
        <v>13</v>
      </c>
      <c r="I7" t="s">
        <v>165</v>
      </c>
      <c r="J7" t="s">
        <v>247</v>
      </c>
    </row>
    <row r="8" spans="2:10" x14ac:dyDescent="0.25">
      <c r="B8" t="str">
        <v>MT-18</v>
      </c>
      <c r="C8">
        <v>0</v>
      </c>
    </row>
    <row r="9" spans="2:10" x14ac:dyDescent="0.25">
      <c r="B9" t="str">
        <v>ZM-08</v>
      </c>
    </row>
    <row r="10" spans="2:10" x14ac:dyDescent="0.25">
      <c r="B10" t="str">
        <v>A93-037a</v>
      </c>
    </row>
    <row r="11" spans="2:10" x14ac:dyDescent="0.25">
      <c r="B11" t="str">
        <v>ST-1</v>
      </c>
    </row>
    <row r="12" spans="2:10" x14ac:dyDescent="0.25">
      <c r="B12" t="str">
        <v>NN-2</v>
      </c>
    </row>
    <row r="13" spans="2:10" x14ac:dyDescent="0.25">
      <c r="B13" t="str">
        <v>A94-051</v>
      </c>
    </row>
    <row r="14" spans="2:10" x14ac:dyDescent="0.25">
      <c r="B14" t="str">
        <v>MAC-65</v>
      </c>
    </row>
    <row r="15" spans="2:10" x14ac:dyDescent="0.25">
      <c r="B15" t="str">
        <v>NN-4</v>
      </c>
    </row>
    <row r="16" spans="2:10" x14ac:dyDescent="0.25">
      <c r="B16" t="str">
        <v>CX-30</v>
      </c>
    </row>
    <row r="17" spans="2:2" x14ac:dyDescent="0.25">
      <c r="B17" t="str">
        <v>MAC-257</v>
      </c>
    </row>
    <row r="18" spans="2:2" x14ac:dyDescent="0.25">
      <c r="B18" t="str">
        <v>WYL-09-46</v>
      </c>
    </row>
    <row r="19" spans="2:2" x14ac:dyDescent="0.25">
      <c r="B19" t="str">
        <v>WYL-10-62</v>
      </c>
    </row>
    <row r="20" spans="2:2" x14ac:dyDescent="0.25">
      <c r="B20" t="str">
        <v>A89-116</v>
      </c>
    </row>
    <row r="21" spans="2:2" x14ac:dyDescent="0.25">
      <c r="B21" t="str">
        <v>A92-002b</v>
      </c>
    </row>
    <row r="22" spans="2:2" x14ac:dyDescent="0.25">
      <c r="B22" t="str">
        <v>A90-011b</v>
      </c>
    </row>
    <row r="23" spans="2:2" x14ac:dyDescent="0.25">
      <c r="B23" t="str">
        <v>P-25</v>
      </c>
    </row>
    <row r="24" spans="2:2" x14ac:dyDescent="0.25">
      <c r="B24" t="str">
        <v>CB94-043</v>
      </c>
    </row>
    <row r="25" spans="2:2" x14ac:dyDescent="0.25">
      <c r="B25" t="str">
        <v>MAC-257-1</v>
      </c>
    </row>
    <row r="26" spans="2:2" x14ac:dyDescent="0.25">
      <c r="B26" t="str">
        <v>A90-012a</v>
      </c>
    </row>
    <row r="27" spans="2:2" x14ac:dyDescent="0.25">
      <c r="B27" t="str">
        <v>A89-114</v>
      </c>
    </row>
    <row r="28" spans="2:2" x14ac:dyDescent="0.25">
      <c r="B28" t="str">
        <v>A92-011c</v>
      </c>
    </row>
    <row r="29" spans="2:2" x14ac:dyDescent="0.25">
      <c r="B29" t="str">
        <v>A94-025a</v>
      </c>
    </row>
    <row r="30" spans="2:2" x14ac:dyDescent="0.25">
      <c r="B30" t="str">
        <v>ZK-22</v>
      </c>
    </row>
    <row r="31" spans="2:2" x14ac:dyDescent="0.25">
      <c r="B31" t="str">
        <v>Q6-74</v>
      </c>
    </row>
    <row r="32" spans="2:2" x14ac:dyDescent="0.25">
      <c r="B32" t="str">
        <v>A88-043</v>
      </c>
    </row>
    <row r="33" spans="2:2" x14ac:dyDescent="0.25">
      <c r="B33" t="str">
        <v>A93-026a</v>
      </c>
    </row>
    <row r="34" spans="2:2" x14ac:dyDescent="0.25">
      <c r="B34" t="str">
        <v>A88-052</v>
      </c>
    </row>
    <row r="35" spans="2:2" x14ac:dyDescent="0.25">
      <c r="B35" t="str">
        <v>A230</v>
      </c>
    </row>
    <row r="36" spans="2:2" x14ac:dyDescent="0.25">
      <c r="B36" t="str">
        <v>A92-045</v>
      </c>
    </row>
    <row r="37" spans="2:2" x14ac:dyDescent="0.25">
      <c r="B37" t="str">
        <v>A93-037b</v>
      </c>
    </row>
    <row r="38" spans="2:2" x14ac:dyDescent="0.25">
      <c r="B38" t="str">
        <v>CB95-065</v>
      </c>
    </row>
    <row r="39" spans="2:2" x14ac:dyDescent="0.25">
      <c r="B39" t="str">
        <v>CLC2-92</v>
      </c>
    </row>
    <row r="40" spans="2:2" x14ac:dyDescent="0.25">
      <c r="B40" t="str">
        <v>EL-09</v>
      </c>
    </row>
    <row r="41" spans="2:2" x14ac:dyDescent="0.25">
      <c r="B41" t="str">
        <v>P-40</v>
      </c>
    </row>
    <row r="42" spans="2:2" x14ac:dyDescent="0.25">
      <c r="B42" t="str">
        <v>S-498</v>
      </c>
    </row>
    <row r="43" spans="2:2" x14ac:dyDescent="0.25">
      <c r="B43" t="str">
        <v>NN-5</v>
      </c>
    </row>
    <row r="44" spans="2:2" x14ac:dyDescent="0.25">
      <c r="B44" t="str">
        <v>A89-108</v>
      </c>
    </row>
    <row r="45" spans="2:2" x14ac:dyDescent="0.25">
      <c r="B45" t="str">
        <v>A91-014</v>
      </c>
    </row>
    <row r="46" spans="2:2" x14ac:dyDescent="0.25">
      <c r="B46">
        <v>0</v>
      </c>
    </row>
    <row r="47" spans="2:2" x14ac:dyDescent="0.25">
      <c r="B47" t="str">
        <v>A89-100</v>
      </c>
    </row>
    <row r="48" spans="2:2" x14ac:dyDescent="0.25">
      <c r="B48" t="str">
        <v>A94-040a</v>
      </c>
    </row>
    <row r="49" spans="2:2" x14ac:dyDescent="0.25">
      <c r="B49" t="str">
        <v>ZM-08-02</v>
      </c>
    </row>
    <row r="50" spans="2:2" x14ac:dyDescent="0.25">
      <c r="B50" t="str">
        <v>A90-006</v>
      </c>
    </row>
    <row r="51" spans="2:2" x14ac:dyDescent="0.25">
      <c r="B51" t="str">
        <v>A92-056a</v>
      </c>
    </row>
    <row r="52" spans="2:2" x14ac:dyDescent="0.25">
      <c r="B52" t="str">
        <v>A92-007b1</v>
      </c>
    </row>
    <row r="53" spans="2:2" x14ac:dyDescent="0.25">
      <c r="B53" t="str">
        <v>A90-005b</v>
      </c>
    </row>
    <row r="54" spans="2:2" x14ac:dyDescent="0.25">
      <c r="B54" t="str">
        <v>CLC1-123</v>
      </c>
    </row>
    <row r="55" spans="2:2" x14ac:dyDescent="0.25">
      <c r="B55" t="str">
        <v>PVS-9</v>
      </c>
    </row>
    <row r="56" spans="2:2" x14ac:dyDescent="0.25">
      <c r="B56" t="str">
        <v>S-566</v>
      </c>
    </row>
    <row r="57" spans="2:2" x14ac:dyDescent="0.25">
      <c r="B57" t="str">
        <v>JM-2</v>
      </c>
    </row>
    <row r="58" spans="2:2" x14ac:dyDescent="0.25">
      <c r="B58" t="str">
        <v>JM-3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C049-5293-4F90-8BBE-F104DD904D43}">
  <dimension ref="A1:T142"/>
  <sheetViews>
    <sheetView zoomScale="80" zoomScaleNormal="80" workbookViewId="0">
      <pane ySplit="1" topLeftCell="A2" activePane="bottomLeft" state="frozen"/>
      <selection pane="bottomLeft" activeCell="E57" sqref="E57"/>
    </sheetView>
  </sheetViews>
  <sheetFormatPr defaultColWidth="8.85546875" defaultRowHeight="15" x14ac:dyDescent="0.25"/>
  <cols>
    <col min="1" max="1" width="13.5703125" style="2" bestFit="1" customWidth="1"/>
    <col min="2" max="2" width="34.5703125" style="2" customWidth="1"/>
    <col min="3" max="3" width="54.42578125" style="5" bestFit="1" customWidth="1"/>
    <col min="4" max="4" width="28.85546875" style="2" bestFit="1" customWidth="1"/>
    <col min="5" max="5" width="25.28515625" style="2" bestFit="1" customWidth="1"/>
    <col min="6" max="16384" width="8.85546875" style="1"/>
  </cols>
  <sheetData>
    <row r="1" spans="1:5" x14ac:dyDescent="0.25">
      <c r="A1" s="9" t="s">
        <v>0</v>
      </c>
      <c r="B1" s="9" t="s">
        <v>92</v>
      </c>
      <c r="C1" s="9" t="s">
        <v>152</v>
      </c>
      <c r="D1" s="9" t="s">
        <v>280</v>
      </c>
      <c r="E1" s="9" t="s">
        <v>336</v>
      </c>
    </row>
    <row r="2" spans="1:5" x14ac:dyDescent="0.25">
      <c r="A2" s="2" t="s">
        <v>303</v>
      </c>
      <c r="B2" s="2" t="s">
        <v>28</v>
      </c>
      <c r="C2" s="5" t="s">
        <v>105</v>
      </c>
      <c r="D2" s="1" t="s">
        <v>122</v>
      </c>
      <c r="E2" s="1"/>
    </row>
    <row r="3" spans="1:5" s="9" customFormat="1" x14ac:dyDescent="0.25">
      <c r="A3" s="2" t="s">
        <v>29</v>
      </c>
      <c r="B3" s="2" t="s">
        <v>30</v>
      </c>
      <c r="C3" s="5" t="s">
        <v>98</v>
      </c>
      <c r="D3" s="1" t="s">
        <v>118</v>
      </c>
      <c r="E3" s="1"/>
    </row>
    <row r="4" spans="1:5" x14ac:dyDescent="0.25">
      <c r="A4" s="2" t="s">
        <v>20</v>
      </c>
      <c r="B4" s="2" t="s">
        <v>16</v>
      </c>
      <c r="C4" s="5" t="s">
        <v>98</v>
      </c>
      <c r="D4" s="1" t="s">
        <v>122</v>
      </c>
      <c r="E4" s="1"/>
    </row>
    <row r="5" spans="1:5" x14ac:dyDescent="0.25">
      <c r="A5" s="2" t="s">
        <v>6</v>
      </c>
      <c r="B5" s="2" t="s">
        <v>7</v>
      </c>
      <c r="C5" s="5" t="s">
        <v>98</v>
      </c>
      <c r="D5" s="1" t="s">
        <v>119</v>
      </c>
      <c r="E5" s="1"/>
    </row>
    <row r="6" spans="1:5" x14ac:dyDescent="0.25">
      <c r="A6" s="2" t="s">
        <v>25</v>
      </c>
      <c r="B6" s="2" t="s">
        <v>26</v>
      </c>
      <c r="C6" s="5" t="s">
        <v>98</v>
      </c>
      <c r="D6" s="1" t="s">
        <v>118</v>
      </c>
      <c r="E6" s="1"/>
    </row>
    <row r="7" spans="1:5" x14ac:dyDescent="0.25">
      <c r="A7" s="2" t="s">
        <v>73</v>
      </c>
      <c r="B7" s="2" t="s">
        <v>58</v>
      </c>
      <c r="C7" s="5" t="s">
        <v>97</v>
      </c>
      <c r="D7" s="1" t="s">
        <v>118</v>
      </c>
      <c r="E7" s="1"/>
    </row>
    <row r="8" spans="1:5" x14ac:dyDescent="0.25">
      <c r="A8" s="2" t="s">
        <v>74</v>
      </c>
      <c r="B8" s="2" t="s">
        <v>75</v>
      </c>
      <c r="C8" s="5" t="s">
        <v>97</v>
      </c>
      <c r="D8" s="1" t="s">
        <v>118</v>
      </c>
      <c r="E8" s="1"/>
    </row>
    <row r="9" spans="1:5" x14ac:dyDescent="0.25">
      <c r="A9" s="2" t="s">
        <v>70</v>
      </c>
      <c r="B9" s="2" t="s">
        <v>71</v>
      </c>
      <c r="C9" s="5" t="s">
        <v>97</v>
      </c>
      <c r="D9" s="1" t="s">
        <v>118</v>
      </c>
      <c r="E9" s="1"/>
    </row>
    <row r="10" spans="1:5" x14ac:dyDescent="0.25">
      <c r="A10" s="2" t="s">
        <v>69</v>
      </c>
      <c r="B10" s="2" t="s">
        <v>2</v>
      </c>
      <c r="C10" s="5" t="s">
        <v>187</v>
      </c>
      <c r="D10" s="1" t="s">
        <v>118</v>
      </c>
      <c r="E10" s="1"/>
    </row>
    <row r="11" spans="1:5" x14ac:dyDescent="0.25">
      <c r="A11" s="2" t="s">
        <v>85</v>
      </c>
      <c r="B11" s="2" t="s">
        <v>55</v>
      </c>
      <c r="C11" s="5" t="s">
        <v>121</v>
      </c>
      <c r="D11" s="1" t="s">
        <v>120</v>
      </c>
      <c r="E11" s="1"/>
    </row>
    <row r="12" spans="1:5" x14ac:dyDescent="0.25">
      <c r="A12" s="2" t="s">
        <v>83</v>
      </c>
      <c r="B12" s="2" t="s">
        <v>84</v>
      </c>
      <c r="C12" s="5" t="s">
        <v>121</v>
      </c>
      <c r="D12" s="1" t="s">
        <v>118</v>
      </c>
      <c r="E12" s="1"/>
    </row>
    <row r="13" spans="1:5" x14ac:dyDescent="0.25">
      <c r="A13" s="2" t="s">
        <v>76</v>
      </c>
      <c r="B13" s="2" t="s">
        <v>77</v>
      </c>
      <c r="C13" s="5" t="s">
        <v>97</v>
      </c>
      <c r="D13" s="1"/>
      <c r="E13" s="1"/>
    </row>
    <row r="14" spans="1:5" x14ac:dyDescent="0.25">
      <c r="A14" s="2" t="s">
        <v>78</v>
      </c>
      <c r="B14" s="2" t="s">
        <v>79</v>
      </c>
      <c r="C14" s="5" t="s">
        <v>97</v>
      </c>
      <c r="D14" s="1" t="s">
        <v>118</v>
      </c>
      <c r="E14" s="1"/>
    </row>
    <row r="15" spans="1:5" x14ac:dyDescent="0.25">
      <c r="A15" s="2" t="s">
        <v>9</v>
      </c>
      <c r="B15" s="2" t="s">
        <v>10</v>
      </c>
      <c r="C15" s="5" t="s">
        <v>98</v>
      </c>
      <c r="D15" s="1" t="s">
        <v>118</v>
      </c>
      <c r="E15" s="1"/>
    </row>
    <row r="16" spans="1:5" x14ac:dyDescent="0.25">
      <c r="A16" s="2" t="s">
        <v>11</v>
      </c>
      <c r="B16" s="2" t="s">
        <v>16</v>
      </c>
      <c r="C16" s="5" t="s">
        <v>98</v>
      </c>
      <c r="D16" s="1" t="s">
        <v>122</v>
      </c>
      <c r="E16" s="1"/>
    </row>
    <row r="17" spans="1:5" x14ac:dyDescent="0.25">
      <c r="A17" s="2" t="s">
        <v>1</v>
      </c>
      <c r="B17" s="2" t="s">
        <v>2</v>
      </c>
      <c r="C17" s="5" t="s">
        <v>98</v>
      </c>
      <c r="D17" s="1" t="s">
        <v>122</v>
      </c>
      <c r="E17" s="1"/>
    </row>
    <row r="18" spans="1:5" x14ac:dyDescent="0.25">
      <c r="A18" s="2" t="s">
        <v>21</v>
      </c>
      <c r="B18" s="2" t="s">
        <v>22</v>
      </c>
      <c r="C18" s="5" t="s">
        <v>98</v>
      </c>
      <c r="D18" s="1" t="s">
        <v>122</v>
      </c>
      <c r="E18" s="1"/>
    </row>
    <row r="19" spans="1:5" x14ac:dyDescent="0.25">
      <c r="A19" s="2" t="s">
        <v>23</v>
      </c>
      <c r="B19" s="2" t="s">
        <v>24</v>
      </c>
      <c r="C19" s="5" t="s">
        <v>98</v>
      </c>
      <c r="D19" s="1" t="s">
        <v>122</v>
      </c>
      <c r="E19" s="1"/>
    </row>
    <row r="20" spans="1:5" x14ac:dyDescent="0.25">
      <c r="A20" s="11" t="s">
        <v>27</v>
      </c>
      <c r="B20" s="11" t="s">
        <v>28</v>
      </c>
      <c r="C20" s="13" t="s">
        <v>98</v>
      </c>
      <c r="D20" s="8" t="s">
        <v>122</v>
      </c>
      <c r="E20" s="8"/>
    </row>
    <row r="21" spans="1:5" x14ac:dyDescent="0.25">
      <c r="A21" s="2" t="s">
        <v>17</v>
      </c>
      <c r="B21" s="2" t="s">
        <v>18</v>
      </c>
      <c r="C21" s="5" t="s">
        <v>98</v>
      </c>
      <c r="D21" s="1" t="s">
        <v>122</v>
      </c>
      <c r="E21" s="1"/>
    </row>
    <row r="22" spans="1:5" x14ac:dyDescent="0.25">
      <c r="A22" s="2" t="s">
        <v>86</v>
      </c>
      <c r="B22" s="2" t="s">
        <v>7</v>
      </c>
      <c r="C22" s="5" t="s">
        <v>100</v>
      </c>
      <c r="D22" s="1" t="s">
        <v>130</v>
      </c>
      <c r="E22" s="1"/>
    </row>
    <row r="23" spans="1:5" x14ac:dyDescent="0.25">
      <c r="A23" s="2" t="s">
        <v>62</v>
      </c>
      <c r="B23" s="2" t="s">
        <v>38</v>
      </c>
      <c r="C23" s="5" t="s">
        <v>157</v>
      </c>
      <c r="D23" s="1" t="s">
        <v>122</v>
      </c>
      <c r="E23" s="1"/>
    </row>
    <row r="24" spans="1:5" x14ac:dyDescent="0.25">
      <c r="A24" s="2" t="s">
        <v>63</v>
      </c>
      <c r="B24" s="2" t="s">
        <v>60</v>
      </c>
      <c r="C24" s="5" t="s">
        <v>99</v>
      </c>
      <c r="D24" s="1" t="s">
        <v>122</v>
      </c>
      <c r="E24" s="1"/>
    </row>
    <row r="25" spans="1:5" x14ac:dyDescent="0.25">
      <c r="A25" s="2" t="s">
        <v>64</v>
      </c>
      <c r="B25" s="2" t="s">
        <v>28</v>
      </c>
      <c r="C25" s="5" t="s">
        <v>99</v>
      </c>
      <c r="D25" s="1" t="s">
        <v>127</v>
      </c>
      <c r="E25" s="1"/>
    </row>
    <row r="26" spans="1:5" x14ac:dyDescent="0.25">
      <c r="A26" s="2" t="s">
        <v>80</v>
      </c>
      <c r="B26" s="2" t="s">
        <v>81</v>
      </c>
      <c r="C26" s="5" t="s">
        <v>103</v>
      </c>
      <c r="D26" s="1" t="s">
        <v>127</v>
      </c>
      <c r="E26" s="1"/>
    </row>
    <row r="27" spans="1:5" x14ac:dyDescent="0.25">
      <c r="A27" s="2" t="s">
        <v>57</v>
      </c>
      <c r="B27" s="2" t="s">
        <v>58</v>
      </c>
      <c r="C27" s="5" t="s">
        <v>102</v>
      </c>
      <c r="D27" s="1" t="s">
        <v>130</v>
      </c>
      <c r="E27" s="1"/>
    </row>
    <row r="28" spans="1:5" x14ac:dyDescent="0.25">
      <c r="A28" s="2" t="s">
        <v>82</v>
      </c>
      <c r="B28" s="2" t="s">
        <v>43</v>
      </c>
      <c r="C28" s="5" t="s">
        <v>103</v>
      </c>
      <c r="D28" s="1" t="s">
        <v>122</v>
      </c>
      <c r="E28" s="1"/>
    </row>
    <row r="29" spans="1:5" x14ac:dyDescent="0.25">
      <c r="A29" s="2" t="s">
        <v>34</v>
      </c>
      <c r="B29" s="2" t="s">
        <v>35</v>
      </c>
      <c r="C29" s="5" t="s">
        <v>112</v>
      </c>
      <c r="D29" s="1" t="s">
        <v>126</v>
      </c>
      <c r="E29" s="1"/>
    </row>
    <row r="30" spans="1:5" x14ac:dyDescent="0.25">
      <c r="A30" s="2" t="s">
        <v>36</v>
      </c>
      <c r="B30" s="2" t="s">
        <v>28</v>
      </c>
      <c r="C30" s="5" t="s">
        <v>112</v>
      </c>
      <c r="D30" s="1" t="s">
        <v>124</v>
      </c>
      <c r="E30" s="1"/>
    </row>
    <row r="31" spans="1:5" x14ac:dyDescent="0.25">
      <c r="A31" t="s">
        <v>302</v>
      </c>
      <c r="B31" t="s">
        <v>55</v>
      </c>
      <c r="C31" s="5" t="s">
        <v>110</v>
      </c>
      <c r="D31" s="1" t="s">
        <v>141</v>
      </c>
      <c r="E31" s="1"/>
    </row>
    <row r="32" spans="1:5" x14ac:dyDescent="0.25">
      <c r="A32" s="2" t="s">
        <v>31</v>
      </c>
      <c r="B32" s="2" t="s">
        <v>28</v>
      </c>
      <c r="C32" s="5" t="s">
        <v>111</v>
      </c>
      <c r="D32" s="1" t="s">
        <v>132</v>
      </c>
      <c r="E32" s="1"/>
    </row>
    <row r="33" spans="1:5" x14ac:dyDescent="0.25">
      <c r="A33" t="s">
        <v>226</v>
      </c>
      <c r="B33" t="s">
        <v>140</v>
      </c>
      <c r="C33" s="5" t="s">
        <v>139</v>
      </c>
      <c r="D33" s="1" t="s">
        <v>137</v>
      </c>
      <c r="E33" s="1"/>
    </row>
    <row r="34" spans="1:5" x14ac:dyDescent="0.25">
      <c r="A34" t="s">
        <v>227</v>
      </c>
      <c r="B34" t="s">
        <v>136</v>
      </c>
      <c r="C34" s="5" t="s">
        <v>139</v>
      </c>
      <c r="D34" s="1" t="s">
        <v>137</v>
      </c>
      <c r="E34" s="1"/>
    </row>
    <row r="35" spans="1:5" s="8" customFormat="1" x14ac:dyDescent="0.25">
      <c r="A35" s="2" t="s">
        <v>33</v>
      </c>
      <c r="B35" s="2" t="s">
        <v>28</v>
      </c>
      <c r="C35" s="5" t="s">
        <v>113</v>
      </c>
      <c r="D35" s="1" t="s">
        <v>132</v>
      </c>
    </row>
    <row r="36" spans="1:5" s="8" customFormat="1" x14ac:dyDescent="0.25">
      <c r="A36" t="s">
        <v>223</v>
      </c>
      <c r="B36" t="s">
        <v>136</v>
      </c>
      <c r="C36" s="5" t="s">
        <v>133</v>
      </c>
      <c r="D36" s="1" t="s">
        <v>137</v>
      </c>
      <c r="E36" s="1"/>
    </row>
    <row r="37" spans="1:5" x14ac:dyDescent="0.25">
      <c r="A37" s="2" t="s">
        <v>42</v>
      </c>
      <c r="B37" s="2" t="s">
        <v>43</v>
      </c>
      <c r="C37" s="5" t="s">
        <v>133</v>
      </c>
      <c r="D37" s="1" t="s">
        <v>126</v>
      </c>
      <c r="E37" s="1"/>
    </row>
    <row r="38" spans="1:5" x14ac:dyDescent="0.25">
      <c r="A38" s="2" t="s">
        <v>41</v>
      </c>
      <c r="B38" s="2" t="s">
        <v>38</v>
      </c>
      <c r="C38" s="5" t="s">
        <v>145</v>
      </c>
      <c r="D38" s="1" t="s">
        <v>124</v>
      </c>
      <c r="E38" s="1"/>
    </row>
    <row r="39" spans="1:5" x14ac:dyDescent="0.25">
      <c r="A39" s="2" t="s">
        <v>44</v>
      </c>
      <c r="B39" s="2" t="s">
        <v>45</v>
      </c>
      <c r="C39" s="5" t="s">
        <v>114</v>
      </c>
      <c r="D39" s="1" t="s">
        <v>125</v>
      </c>
      <c r="E39" s="1"/>
    </row>
    <row r="40" spans="1:5" x14ac:dyDescent="0.25">
      <c r="A40" s="2" t="s">
        <v>46</v>
      </c>
      <c r="B40" s="2" t="s">
        <v>28</v>
      </c>
      <c r="C40" s="5" t="s">
        <v>114</v>
      </c>
      <c r="D40" s="1" t="s">
        <v>125</v>
      </c>
      <c r="E40" s="1"/>
    </row>
    <row r="41" spans="1:5" x14ac:dyDescent="0.25">
      <c r="A41" s="2" t="s">
        <v>56</v>
      </c>
      <c r="B41" s="2" t="s">
        <v>55</v>
      </c>
      <c r="C41" s="5" t="s">
        <v>176</v>
      </c>
      <c r="D41" s="1" t="s">
        <v>122</v>
      </c>
      <c r="E41" s="1"/>
    </row>
    <row r="42" spans="1:5" x14ac:dyDescent="0.25">
      <c r="A42" s="2" t="s">
        <v>49</v>
      </c>
      <c r="B42" s="2" t="s">
        <v>50</v>
      </c>
      <c r="C42" s="5" t="s">
        <v>108</v>
      </c>
      <c r="D42" s="1" t="s">
        <v>122</v>
      </c>
      <c r="E42" s="1"/>
    </row>
    <row r="43" spans="1:5" x14ac:dyDescent="0.25">
      <c r="A43" s="2" t="s">
        <v>53</v>
      </c>
      <c r="B43" s="2" t="s">
        <v>28</v>
      </c>
      <c r="C43" s="5" t="s">
        <v>107</v>
      </c>
      <c r="D43" s="1" t="s">
        <v>127</v>
      </c>
      <c r="E43" s="1"/>
    </row>
    <row r="44" spans="1:5" x14ac:dyDescent="0.25">
      <c r="A44" s="2" t="s">
        <v>54</v>
      </c>
      <c r="B44" s="2" t="s">
        <v>55</v>
      </c>
      <c r="C44" s="5" t="s">
        <v>176</v>
      </c>
      <c r="D44" s="1" t="s">
        <v>129</v>
      </c>
      <c r="E44" s="1"/>
    </row>
    <row r="45" spans="1:5" x14ac:dyDescent="0.25">
      <c r="A45" s="2" t="s">
        <v>66</v>
      </c>
      <c r="B45" s="2" t="s">
        <v>67</v>
      </c>
      <c r="C45" s="5" t="s">
        <v>172</v>
      </c>
      <c r="D45" s="1" t="s">
        <v>129</v>
      </c>
      <c r="E45" s="1"/>
    </row>
    <row r="46" spans="1:5" x14ac:dyDescent="0.25">
      <c r="A46" s="2" t="s">
        <v>244</v>
      </c>
      <c r="B46" s="2" t="s">
        <v>136</v>
      </c>
      <c r="C46" s="5" t="s">
        <v>245</v>
      </c>
      <c r="D46" s="1" t="s">
        <v>249</v>
      </c>
      <c r="E46" s="1"/>
    </row>
    <row r="47" spans="1:5" x14ac:dyDescent="0.25">
      <c r="A47" s="2" t="s">
        <v>239</v>
      </c>
      <c r="B47" s="2" t="s">
        <v>136</v>
      </c>
      <c r="C47" s="5" t="s">
        <v>240</v>
      </c>
      <c r="D47" s="1" t="s">
        <v>248</v>
      </c>
      <c r="E47" s="1"/>
    </row>
    <row r="48" spans="1:5" x14ac:dyDescent="0.25">
      <c r="A48" s="2" t="s">
        <v>39</v>
      </c>
      <c r="B48" s="2" t="s">
        <v>40</v>
      </c>
      <c r="C48" s="5" t="s">
        <v>115</v>
      </c>
      <c r="D48" s="1" t="s">
        <v>124</v>
      </c>
      <c r="E48" s="1"/>
    </row>
    <row r="49" spans="1:20" x14ac:dyDescent="0.25">
      <c r="A49" s="2" t="s">
        <v>37</v>
      </c>
      <c r="B49" s="2" t="s">
        <v>38</v>
      </c>
      <c r="C49" s="5" t="s">
        <v>115</v>
      </c>
      <c r="D49" s="1" t="s">
        <v>124</v>
      </c>
      <c r="E49" s="1"/>
    </row>
    <row r="50" spans="1:20" x14ac:dyDescent="0.25">
      <c r="A50" s="2" t="s">
        <v>309</v>
      </c>
      <c r="B50" s="2" t="s">
        <v>146</v>
      </c>
      <c r="C50" s="5" t="s">
        <v>115</v>
      </c>
      <c r="D50" s="1" t="s">
        <v>124</v>
      </c>
      <c r="E50" s="1"/>
    </row>
    <row r="51" spans="1:20" x14ac:dyDescent="0.25">
      <c r="A51" s="2" t="s">
        <v>284</v>
      </c>
      <c r="B51" t="s">
        <v>143</v>
      </c>
      <c r="C51" s="5" t="s">
        <v>142</v>
      </c>
      <c r="D51" s="1" t="s">
        <v>137</v>
      </c>
      <c r="E51" s="1"/>
    </row>
    <row r="52" spans="1:20" x14ac:dyDescent="0.25">
      <c r="A52" s="2" t="s">
        <v>286</v>
      </c>
      <c r="B52" t="s">
        <v>144</v>
      </c>
      <c r="C52" s="5" t="s">
        <v>142</v>
      </c>
      <c r="D52" s="1" t="s">
        <v>137</v>
      </c>
      <c r="E52" s="1"/>
    </row>
    <row r="53" spans="1:20" x14ac:dyDescent="0.25">
      <c r="A53" s="2" t="s">
        <v>287</v>
      </c>
      <c r="B53" s="2" t="s">
        <v>28</v>
      </c>
      <c r="C53" s="5" t="s">
        <v>252</v>
      </c>
      <c r="D53" s="1" t="s">
        <v>414</v>
      </c>
      <c r="E53" s="1"/>
    </row>
    <row r="54" spans="1:20" x14ac:dyDescent="0.25">
      <c r="A54" s="2" t="s">
        <v>291</v>
      </c>
      <c r="B54" s="2" t="s">
        <v>273</v>
      </c>
      <c r="C54" s="5" t="s">
        <v>258</v>
      </c>
      <c r="D54" s="1" t="s">
        <v>256</v>
      </c>
      <c r="E54" s="1"/>
    </row>
    <row r="55" spans="1:20" x14ac:dyDescent="0.25">
      <c r="A55" s="2" t="s">
        <v>292</v>
      </c>
      <c r="B55" s="2" t="s">
        <v>273</v>
      </c>
      <c r="C55" s="5" t="s">
        <v>258</v>
      </c>
      <c r="D55" s="1" t="s">
        <v>256</v>
      </c>
      <c r="E55" s="1"/>
    </row>
    <row r="56" spans="1:20" x14ac:dyDescent="0.25">
      <c r="A56" t="s">
        <v>418</v>
      </c>
      <c r="B56" t="s">
        <v>134</v>
      </c>
      <c r="C56" s="5" t="s">
        <v>133</v>
      </c>
      <c r="D56" s="2" t="s">
        <v>137</v>
      </c>
      <c r="E56" s="1"/>
      <c r="G56" s="7"/>
      <c r="H56" s="4"/>
      <c r="I56" s="5"/>
      <c r="M56" t="s">
        <v>278</v>
      </c>
      <c r="N56" t="s">
        <v>278</v>
      </c>
      <c r="O56"/>
      <c r="P56"/>
      <c r="R56" s="2"/>
      <c r="T56" s="18"/>
    </row>
    <row r="57" spans="1:20" x14ac:dyDescent="0.25">
      <c r="A57"/>
      <c r="B57"/>
      <c r="C57"/>
      <c r="D57"/>
      <c r="E57"/>
    </row>
    <row r="58" spans="1:20" x14ac:dyDescent="0.25">
      <c r="A58"/>
      <c r="B58"/>
      <c r="C58"/>
      <c r="D58"/>
      <c r="E58"/>
    </row>
    <row r="59" spans="1:20" x14ac:dyDescent="0.25">
      <c r="A59"/>
      <c r="B59"/>
      <c r="C59"/>
      <c r="D59"/>
      <c r="E59"/>
    </row>
    <row r="60" spans="1:20" x14ac:dyDescent="0.25">
      <c r="A60"/>
      <c r="B60"/>
      <c r="C60"/>
      <c r="D60"/>
      <c r="E60"/>
    </row>
    <row r="61" spans="1:20" x14ac:dyDescent="0.25">
      <c r="A61"/>
      <c r="B61"/>
      <c r="C61"/>
      <c r="D61"/>
      <c r="E61"/>
    </row>
    <row r="62" spans="1:20" x14ac:dyDescent="0.25">
      <c r="A62"/>
      <c r="B62"/>
      <c r="C62"/>
      <c r="D62"/>
      <c r="E62"/>
    </row>
    <row r="63" spans="1:20" x14ac:dyDescent="0.25">
      <c r="A63"/>
      <c r="B63"/>
      <c r="C63"/>
      <c r="D63"/>
      <c r="E63"/>
    </row>
    <row r="64" spans="1:20" x14ac:dyDescent="0.25">
      <c r="A64"/>
      <c r="B64"/>
      <c r="C64"/>
      <c r="D64"/>
      <c r="E64"/>
    </row>
    <row r="65" spans="1:5" x14ac:dyDescent="0.25">
      <c r="A65"/>
      <c r="B65"/>
      <c r="C65"/>
      <c r="D65"/>
      <c r="E65"/>
    </row>
    <row r="66" spans="1:5" x14ac:dyDescent="0.25">
      <c r="A66"/>
      <c r="B66"/>
      <c r="C66"/>
      <c r="D66"/>
      <c r="E66"/>
    </row>
    <row r="67" spans="1:5" x14ac:dyDescent="0.25">
      <c r="A67"/>
      <c r="B67"/>
      <c r="C67"/>
      <c r="D67"/>
      <c r="E67"/>
    </row>
    <row r="68" spans="1:5" x14ac:dyDescent="0.25">
      <c r="A68"/>
      <c r="B68"/>
      <c r="C68"/>
      <c r="D68"/>
      <c r="E68"/>
    </row>
    <row r="69" spans="1:5" x14ac:dyDescent="0.25">
      <c r="A69"/>
      <c r="B69"/>
      <c r="C69"/>
      <c r="D69"/>
      <c r="E69"/>
    </row>
    <row r="70" spans="1:5" x14ac:dyDescent="0.25">
      <c r="A70"/>
      <c r="B70"/>
      <c r="C70"/>
      <c r="D70"/>
      <c r="E70"/>
    </row>
    <row r="71" spans="1:5" x14ac:dyDescent="0.25">
      <c r="A71"/>
      <c r="B71"/>
      <c r="C71"/>
      <c r="D71"/>
      <c r="E71"/>
    </row>
    <row r="72" spans="1:5" x14ac:dyDescent="0.25">
      <c r="A72"/>
      <c r="B72"/>
      <c r="C72"/>
      <c r="D72"/>
      <c r="E72"/>
    </row>
    <row r="73" spans="1:5" x14ac:dyDescent="0.25">
      <c r="A73"/>
      <c r="B73"/>
      <c r="C73"/>
      <c r="D73"/>
      <c r="E73"/>
    </row>
    <row r="74" spans="1:5" x14ac:dyDescent="0.25">
      <c r="A74"/>
      <c r="B74"/>
      <c r="C74"/>
      <c r="D74"/>
      <c r="E74"/>
    </row>
    <row r="75" spans="1:5" x14ac:dyDescent="0.25">
      <c r="A75"/>
      <c r="B75"/>
      <c r="C75"/>
      <c r="D75"/>
      <c r="E75"/>
    </row>
    <row r="76" spans="1:5" x14ac:dyDescent="0.25">
      <c r="A76"/>
      <c r="B76"/>
      <c r="C76"/>
      <c r="D76"/>
      <c r="E76"/>
    </row>
    <row r="77" spans="1:5" x14ac:dyDescent="0.25">
      <c r="A77"/>
      <c r="B77"/>
      <c r="C77"/>
      <c r="D77"/>
      <c r="E77"/>
    </row>
    <row r="78" spans="1:5" x14ac:dyDescent="0.25">
      <c r="A78"/>
      <c r="B78"/>
      <c r="C78"/>
      <c r="D78"/>
      <c r="E78"/>
    </row>
    <row r="79" spans="1:5" x14ac:dyDescent="0.25">
      <c r="A79"/>
      <c r="B79"/>
      <c r="C79"/>
      <c r="D79"/>
      <c r="E79"/>
    </row>
    <row r="80" spans="1:5" x14ac:dyDescent="0.25">
      <c r="A80"/>
      <c r="B80"/>
      <c r="C80"/>
      <c r="D80"/>
      <c r="E80"/>
    </row>
    <row r="81" spans="1:5" x14ac:dyDescent="0.25">
      <c r="A81"/>
      <c r="B81"/>
      <c r="C81"/>
      <c r="D81"/>
      <c r="E81"/>
    </row>
    <row r="82" spans="1:5" x14ac:dyDescent="0.25">
      <c r="A82"/>
      <c r="B82"/>
      <c r="C82"/>
      <c r="D82"/>
      <c r="E82"/>
    </row>
    <row r="83" spans="1:5" x14ac:dyDescent="0.25">
      <c r="A83"/>
      <c r="B83"/>
      <c r="C83"/>
      <c r="D83"/>
      <c r="E83"/>
    </row>
    <row r="84" spans="1:5" x14ac:dyDescent="0.25">
      <c r="A84"/>
      <c r="B84"/>
      <c r="C84"/>
      <c r="D84"/>
      <c r="E84"/>
    </row>
    <row r="85" spans="1:5" x14ac:dyDescent="0.25">
      <c r="A85"/>
      <c r="B85"/>
      <c r="C85"/>
      <c r="D85"/>
      <c r="E85"/>
    </row>
    <row r="86" spans="1:5" x14ac:dyDescent="0.25">
      <c r="A86"/>
      <c r="B86"/>
      <c r="C86"/>
      <c r="D86"/>
      <c r="E86"/>
    </row>
    <row r="87" spans="1:5" x14ac:dyDescent="0.25">
      <c r="A87"/>
      <c r="B87"/>
      <c r="C87"/>
      <c r="D87"/>
      <c r="E87"/>
    </row>
    <row r="88" spans="1:5" x14ac:dyDescent="0.25">
      <c r="A88"/>
      <c r="B88"/>
      <c r="C88"/>
      <c r="D88"/>
      <c r="E88"/>
    </row>
    <row r="89" spans="1:5" x14ac:dyDescent="0.25">
      <c r="A89"/>
      <c r="B89"/>
      <c r="C89"/>
      <c r="D89"/>
      <c r="E89"/>
    </row>
    <row r="90" spans="1:5" x14ac:dyDescent="0.25">
      <c r="A90"/>
      <c r="B90"/>
      <c r="C90"/>
      <c r="D90"/>
      <c r="E90"/>
    </row>
    <row r="91" spans="1:5" x14ac:dyDescent="0.25">
      <c r="A91"/>
      <c r="B91"/>
      <c r="C91"/>
      <c r="D91"/>
      <c r="E91"/>
    </row>
    <row r="92" spans="1:5" x14ac:dyDescent="0.25">
      <c r="A92"/>
      <c r="B92"/>
      <c r="C92"/>
      <c r="D92"/>
      <c r="E92"/>
    </row>
    <row r="93" spans="1:5" x14ac:dyDescent="0.25">
      <c r="A93"/>
      <c r="B93"/>
      <c r="C93"/>
      <c r="D93"/>
      <c r="E93"/>
    </row>
    <row r="94" spans="1:5" x14ac:dyDescent="0.25">
      <c r="A94"/>
      <c r="B94"/>
      <c r="C94"/>
      <c r="D94"/>
      <c r="E94"/>
    </row>
    <row r="95" spans="1:5" x14ac:dyDescent="0.25">
      <c r="A95"/>
      <c r="B95"/>
      <c r="C95"/>
      <c r="D95"/>
      <c r="E95"/>
    </row>
    <row r="96" spans="1:5" x14ac:dyDescent="0.25">
      <c r="A96"/>
      <c r="B96"/>
      <c r="C96"/>
      <c r="D96"/>
      <c r="E96"/>
    </row>
    <row r="97" spans="1:5" x14ac:dyDescent="0.25">
      <c r="A97"/>
      <c r="B97"/>
      <c r="C97"/>
      <c r="D97"/>
      <c r="E97"/>
    </row>
    <row r="98" spans="1:5" x14ac:dyDescent="0.25">
      <c r="A98"/>
      <c r="B98"/>
      <c r="C98"/>
      <c r="D98"/>
      <c r="E98"/>
    </row>
    <row r="99" spans="1:5" x14ac:dyDescent="0.25">
      <c r="A99"/>
      <c r="B99"/>
      <c r="C99"/>
      <c r="D99"/>
      <c r="E99"/>
    </row>
    <row r="100" spans="1:5" customFormat="1" x14ac:dyDescent="0.25"/>
    <row r="101" spans="1:5" customFormat="1" x14ac:dyDescent="0.25"/>
    <row r="102" spans="1:5" customFormat="1" x14ac:dyDescent="0.25"/>
    <row r="103" spans="1:5" customFormat="1" x14ac:dyDescent="0.25"/>
    <row r="104" spans="1:5" customFormat="1" x14ac:dyDescent="0.25"/>
    <row r="105" spans="1:5" customFormat="1" x14ac:dyDescent="0.25"/>
    <row r="106" spans="1:5" customFormat="1" x14ac:dyDescent="0.25"/>
    <row r="107" spans="1:5" customFormat="1" x14ac:dyDescent="0.25"/>
    <row r="108" spans="1:5" customFormat="1" x14ac:dyDescent="0.25"/>
    <row r="109" spans="1:5" customFormat="1" x14ac:dyDescent="0.25"/>
    <row r="110" spans="1:5" customFormat="1" x14ac:dyDescent="0.25"/>
    <row r="111" spans="1:5" customFormat="1" x14ac:dyDescent="0.25"/>
    <row r="112" spans="1:5" customFormat="1" x14ac:dyDescent="0.25"/>
    <row r="113" spans="1:3" customFormat="1" x14ac:dyDescent="0.25"/>
    <row r="114" spans="1:3" customFormat="1" x14ac:dyDescent="0.25"/>
    <row r="115" spans="1:3" x14ac:dyDescent="0.25">
      <c r="A115"/>
      <c r="B115"/>
      <c r="C115"/>
    </row>
    <row r="116" spans="1:3" x14ac:dyDescent="0.25">
      <c r="A116"/>
      <c r="B116"/>
      <c r="C116"/>
    </row>
    <row r="117" spans="1:3" x14ac:dyDescent="0.25">
      <c r="A117"/>
      <c r="B117"/>
      <c r="C117"/>
    </row>
    <row r="118" spans="1:3" x14ac:dyDescent="0.25">
      <c r="A118"/>
      <c r="B118"/>
      <c r="C118"/>
    </row>
    <row r="119" spans="1:3" x14ac:dyDescent="0.25">
      <c r="A119"/>
      <c r="B119"/>
      <c r="C119"/>
    </row>
    <row r="120" spans="1:3" x14ac:dyDescent="0.25">
      <c r="A120"/>
      <c r="B120"/>
      <c r="C120"/>
    </row>
    <row r="121" spans="1:3" x14ac:dyDescent="0.25">
      <c r="A121"/>
      <c r="B121"/>
      <c r="C121"/>
    </row>
    <row r="122" spans="1:3" x14ac:dyDescent="0.25">
      <c r="A122"/>
      <c r="B122"/>
      <c r="C122"/>
    </row>
    <row r="123" spans="1:3" x14ac:dyDescent="0.25">
      <c r="A123"/>
      <c r="B123"/>
      <c r="C123"/>
    </row>
    <row r="124" spans="1:3" x14ac:dyDescent="0.25">
      <c r="A124"/>
      <c r="B124"/>
      <c r="C124"/>
    </row>
    <row r="125" spans="1:3" x14ac:dyDescent="0.25">
      <c r="A125"/>
      <c r="B125"/>
      <c r="C125"/>
    </row>
    <row r="126" spans="1:3" x14ac:dyDescent="0.25">
      <c r="A126"/>
      <c r="B126"/>
      <c r="C126"/>
    </row>
    <row r="127" spans="1:3" x14ac:dyDescent="0.25">
      <c r="A127"/>
      <c r="B127"/>
      <c r="C127"/>
    </row>
    <row r="128" spans="1:3" x14ac:dyDescent="0.25">
      <c r="A128"/>
      <c r="B128"/>
      <c r="C128"/>
    </row>
    <row r="129" spans="1:3" x14ac:dyDescent="0.25">
      <c r="A129"/>
      <c r="B129"/>
      <c r="C129"/>
    </row>
    <row r="130" spans="1:3" x14ac:dyDescent="0.25">
      <c r="A130"/>
      <c r="B130"/>
      <c r="C130"/>
    </row>
    <row r="131" spans="1:3" x14ac:dyDescent="0.25">
      <c r="A131"/>
      <c r="B131"/>
      <c r="C131"/>
    </row>
    <row r="132" spans="1:3" x14ac:dyDescent="0.25">
      <c r="A132"/>
      <c r="B132"/>
      <c r="C132"/>
    </row>
    <row r="133" spans="1:3" x14ac:dyDescent="0.25">
      <c r="A133"/>
      <c r="B133"/>
      <c r="C133"/>
    </row>
    <row r="134" spans="1:3" x14ac:dyDescent="0.25">
      <c r="A134"/>
      <c r="B134"/>
      <c r="C134"/>
    </row>
    <row r="135" spans="1:3" x14ac:dyDescent="0.25">
      <c r="A135"/>
      <c r="B135"/>
      <c r="C135"/>
    </row>
    <row r="136" spans="1:3" x14ac:dyDescent="0.25">
      <c r="A136"/>
      <c r="B136"/>
      <c r="C136"/>
    </row>
    <row r="137" spans="1:3" x14ac:dyDescent="0.25">
      <c r="A137"/>
      <c r="B137"/>
      <c r="C137"/>
    </row>
    <row r="138" spans="1:3" x14ac:dyDescent="0.25">
      <c r="A138"/>
      <c r="B138"/>
      <c r="C138"/>
    </row>
    <row r="139" spans="1:3" x14ac:dyDescent="0.25">
      <c r="A139"/>
      <c r="B139"/>
      <c r="C139"/>
    </row>
    <row r="140" spans="1:3" x14ac:dyDescent="0.25">
      <c r="A140"/>
      <c r="B140"/>
      <c r="C140"/>
    </row>
    <row r="141" spans="1:3" x14ac:dyDescent="0.25">
      <c r="A141"/>
      <c r="B141"/>
      <c r="C141"/>
    </row>
    <row r="142" spans="1:3" x14ac:dyDescent="0.25">
      <c r="A142"/>
      <c r="B142"/>
      <c r="C142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79CD3-3E70-4C69-9196-ED72BEF2FA0C}">
  <dimension ref="A1:Y100"/>
  <sheetViews>
    <sheetView zoomScale="80" zoomScaleNormal="80" workbookViewId="0">
      <pane ySplit="1" topLeftCell="A28" activePane="bottomLeft" state="frozen"/>
      <selection pane="bottomLeft" activeCell="A81" sqref="A81:XFD81"/>
    </sheetView>
  </sheetViews>
  <sheetFormatPr defaultColWidth="8.85546875" defaultRowHeight="15" x14ac:dyDescent="0.25"/>
  <cols>
    <col min="1" max="1" width="11.5703125" style="1" bestFit="1" customWidth="1"/>
    <col min="2" max="2" width="10.7109375" style="2" bestFit="1" customWidth="1"/>
    <col min="3" max="3" width="34.5703125" style="2" customWidth="1"/>
    <col min="4" max="4" width="13.5703125" style="1" bestFit="1" customWidth="1"/>
    <col min="5" max="5" width="15.85546875" style="1" bestFit="1" customWidth="1"/>
    <col min="6" max="6" width="13.5703125" style="1" bestFit="1" customWidth="1"/>
    <col min="7" max="7" width="13.5703125" style="1" customWidth="1"/>
    <col min="8" max="8" width="12.28515625" style="1" bestFit="1" customWidth="1"/>
    <col min="9" max="9" width="23.42578125" style="4" bestFit="1" customWidth="1"/>
    <col min="10" max="10" width="36.5703125" style="1" bestFit="1" customWidth="1"/>
    <col min="11" max="12" width="36.5703125" style="1" customWidth="1"/>
    <col min="13" max="13" width="40.5703125" style="5" bestFit="1" customWidth="1"/>
    <col min="14" max="14" width="17.7109375" style="1" bestFit="1" customWidth="1"/>
    <col min="15" max="15" width="38.42578125" style="1" bestFit="1" customWidth="1"/>
    <col min="16" max="16" width="54.42578125" style="5" bestFit="1" customWidth="1"/>
    <col min="17" max="17" width="14.85546875" style="1" bestFit="1" customWidth="1"/>
    <col min="18" max="20" width="14.85546875" style="1" customWidth="1"/>
    <col min="21" max="21" width="28.85546875" style="2" bestFit="1" customWidth="1"/>
    <col min="22" max="22" width="25.28515625" style="2" bestFit="1" customWidth="1"/>
    <col min="23" max="23" width="12.42578125" style="2" bestFit="1" customWidth="1"/>
    <col min="24" max="24" width="9.42578125" style="18" bestFit="1" customWidth="1"/>
    <col min="25" max="25" width="11" style="1" bestFit="1" customWidth="1"/>
    <col min="26" max="16384" width="8.85546875" style="1"/>
  </cols>
  <sheetData>
    <row r="1" spans="1:25" ht="30" x14ac:dyDescent="0.25">
      <c r="A1" s="9" t="s">
        <v>151</v>
      </c>
      <c r="B1" s="9" t="s">
        <v>0</v>
      </c>
      <c r="C1" s="9" t="s">
        <v>92</v>
      </c>
      <c r="D1" s="9" t="s">
        <v>93</v>
      </c>
      <c r="E1" s="9" t="s">
        <v>147</v>
      </c>
      <c r="F1" s="9" t="s">
        <v>94</v>
      </c>
      <c r="G1" s="9" t="s">
        <v>300</v>
      </c>
      <c r="H1" s="9" t="s">
        <v>95</v>
      </c>
      <c r="I1" s="14" t="s">
        <v>96</v>
      </c>
      <c r="J1" s="24" t="s">
        <v>333</v>
      </c>
      <c r="K1" s="24" t="s">
        <v>334</v>
      </c>
      <c r="L1" s="24" t="s">
        <v>335</v>
      </c>
      <c r="M1" s="9" t="s">
        <v>91</v>
      </c>
      <c r="N1" s="9" t="s">
        <v>150</v>
      </c>
      <c r="O1" s="9" t="s">
        <v>168</v>
      </c>
      <c r="P1" s="9" t="s">
        <v>152</v>
      </c>
      <c r="Q1" s="9" t="s">
        <v>153</v>
      </c>
      <c r="R1" s="9" t="s">
        <v>279</v>
      </c>
      <c r="S1" s="9" t="s">
        <v>154</v>
      </c>
      <c r="T1" s="9" t="s">
        <v>155</v>
      </c>
      <c r="U1" s="15" t="s">
        <v>275</v>
      </c>
      <c r="V1" s="15" t="s">
        <v>276</v>
      </c>
      <c r="W1" s="15" t="s">
        <v>305</v>
      </c>
    </row>
    <row r="2" spans="1:25" x14ac:dyDescent="0.25">
      <c r="B2" t="s">
        <v>226</v>
      </c>
      <c r="C2" t="s">
        <v>140</v>
      </c>
      <c r="D2" s="1" t="s">
        <v>3</v>
      </c>
      <c r="E2" s="1" t="s">
        <v>135</v>
      </c>
      <c r="F2" s="1" t="s">
        <v>12</v>
      </c>
      <c r="G2" s="1" t="str">
        <f>IF('Working table'!$F58=$X$2,$Y$2,IF('Working table'!$F58=$X$3,$Y$3,IF('Working table'!$F58=$X$4,$Y$4,IF('Working table'!$F58=$X$5,$Y$5,$Y$6))))</f>
        <v>Xtm</v>
      </c>
      <c r="H2" s="7">
        <v>1791.3</v>
      </c>
      <c r="I2" s="4" t="s">
        <v>178</v>
      </c>
      <c r="J2" s="1" t="s">
        <v>329</v>
      </c>
      <c r="K2" s="1" t="str">
        <f>H2 &amp; " " &amp; J2</f>
        <v>1791.3 ±8</v>
      </c>
      <c r="L2" s="1" t="str">
        <f>H2&amp;" "&amp;J2&amp;" "&amp;"("&amp;G2&amp;")"</f>
        <v>1791.3 ±8 (Xtm)</v>
      </c>
      <c r="M2" s="5" t="s">
        <v>5</v>
      </c>
      <c r="N2" s="1" t="s">
        <v>104</v>
      </c>
      <c r="O2" s="1" t="s">
        <v>220</v>
      </c>
      <c r="P2" s="5" t="s">
        <v>139</v>
      </c>
      <c r="Q2" t="s">
        <v>278</v>
      </c>
      <c r="R2" t="s">
        <v>278</v>
      </c>
      <c r="S2"/>
      <c r="T2"/>
      <c r="U2" s="2" t="s">
        <v>137</v>
      </c>
    </row>
    <row r="3" spans="1:25" s="9" customFormat="1" x14ac:dyDescent="0.25">
      <c r="A3" s="1"/>
      <c r="B3" t="s">
        <v>226</v>
      </c>
      <c r="C3" t="s">
        <v>140</v>
      </c>
      <c r="D3" s="1" t="s">
        <v>3</v>
      </c>
      <c r="E3" s="1" t="s">
        <v>135</v>
      </c>
      <c r="F3" s="1" t="s">
        <v>8</v>
      </c>
      <c r="G3" s="1" t="str">
        <f>IF('Working table'!$F59=$X$2,$Y$2,IF('Working table'!$F59=$X$3,$Y$3,IF('Working table'!$F59=$X$4,$Y$4,IF('Working table'!$F59=$X$5,$Y$5,$Y$6))))</f>
        <v>Xtm</v>
      </c>
      <c r="H3" s="7">
        <v>2731</v>
      </c>
      <c r="I3" s="4">
        <v>25</v>
      </c>
      <c r="J3" s="4" t="s">
        <v>330</v>
      </c>
      <c r="K3" s="1" t="str">
        <f>H3 &amp; " " &amp; J3</f>
        <v>2731 ±25</v>
      </c>
      <c r="L3" s="1" t="str">
        <f>H3&amp;" "&amp;J3&amp;" "&amp;"("&amp;G3&amp;")"</f>
        <v>2731 ±25 (Xtm)</v>
      </c>
      <c r="M3" s="5" t="s">
        <v>47</v>
      </c>
      <c r="N3" s="1" t="s">
        <v>104</v>
      </c>
      <c r="O3" s="1" t="s">
        <v>220</v>
      </c>
      <c r="P3" s="5" t="s">
        <v>139</v>
      </c>
      <c r="Q3" t="s">
        <v>278</v>
      </c>
      <c r="R3" t="s">
        <v>278</v>
      </c>
      <c r="S3"/>
      <c r="T3"/>
      <c r="U3" s="2" t="s">
        <v>137</v>
      </c>
      <c r="V3" s="2"/>
      <c r="W3" s="2"/>
      <c r="X3" s="18"/>
      <c r="Y3" s="1"/>
    </row>
    <row r="4" spans="1:25" x14ac:dyDescent="0.25">
      <c r="A4" s="1" t="s">
        <v>48</v>
      </c>
      <c r="B4" s="2" t="s">
        <v>20</v>
      </c>
      <c r="C4" s="2" t="s">
        <v>16</v>
      </c>
      <c r="D4" s="1" t="s">
        <v>3</v>
      </c>
      <c r="E4" s="1" t="s">
        <v>148</v>
      </c>
      <c r="F4" s="1" t="s">
        <v>4</v>
      </c>
      <c r="G4" s="1" t="str">
        <f>IF('Working table'!$F5=$X$2,$Y$2,IF('Working table'!$F5=$X$3,$Y$3,IF('Working table'!$F5=$X$4,$Y$4,IF('Working table'!$F5=$X$5,$Y$5,$Y$6))))</f>
        <v>Ttn</v>
      </c>
      <c r="H4" s="1">
        <v>1783</v>
      </c>
      <c r="I4" s="4">
        <v>4</v>
      </c>
      <c r="J4" s="4" t="s">
        <v>313</v>
      </c>
      <c r="K4" s="1" t="str">
        <f>H4 &amp; " " &amp; J4</f>
        <v>1783 ±4</v>
      </c>
      <c r="L4" s="1" t="str">
        <f>H4&amp;" "&amp;J4&amp;" "&amp;"("&amp;G4&amp;")"</f>
        <v>1783 ±4 (Ttn)</v>
      </c>
      <c r="M4" s="5" t="s">
        <v>5</v>
      </c>
      <c r="N4" s="1" t="s">
        <v>149</v>
      </c>
      <c r="P4" s="5" t="s">
        <v>98</v>
      </c>
      <c r="Q4" s="1">
        <v>-106.12138888888889</v>
      </c>
      <c r="R4" s="1">
        <v>56.933055555555555</v>
      </c>
      <c r="S4" s="1">
        <v>431695</v>
      </c>
      <c r="T4" s="1">
        <v>6308856</v>
      </c>
      <c r="U4" s="2" t="s">
        <v>122</v>
      </c>
      <c r="X4" s="1" t="s">
        <v>4</v>
      </c>
      <c r="Y4" s="22" t="s">
        <v>296</v>
      </c>
    </row>
    <row r="5" spans="1:25" x14ac:dyDescent="0.25">
      <c r="A5" s="1" t="s">
        <v>48</v>
      </c>
      <c r="B5" s="2" t="s">
        <v>11</v>
      </c>
      <c r="C5" s="2" t="s">
        <v>16</v>
      </c>
      <c r="D5" s="1" t="s">
        <v>3</v>
      </c>
      <c r="E5" s="1" t="s">
        <v>148</v>
      </c>
      <c r="F5" s="1" t="s">
        <v>4</v>
      </c>
      <c r="G5" s="1" t="str">
        <f>IF('Working table'!$F27=$X$2,$Y$2,IF('Working table'!$F27=$X$3,$Y$3,IF('Working table'!$F27=$X$4,$Y$4,IF('Working table'!$F27=$X$5,$Y$5,$Y$6))))</f>
        <v>Xtm</v>
      </c>
      <c r="H5" s="1">
        <v>1796</v>
      </c>
      <c r="I5" s="4">
        <v>4</v>
      </c>
      <c r="J5" s="4" t="s">
        <v>313</v>
      </c>
      <c r="K5" s="1" t="str">
        <f>H5 &amp; " " &amp; J5</f>
        <v>1796 ±4</v>
      </c>
      <c r="L5" s="1" t="str">
        <f>H5&amp;" "&amp;J5&amp;" "&amp;"("&amp;G5&amp;")"</f>
        <v>1796 ±4 (Xtm)</v>
      </c>
      <c r="M5" s="5" t="s">
        <v>5</v>
      </c>
      <c r="N5" s="1" t="s">
        <v>149</v>
      </c>
      <c r="P5" s="5" t="s">
        <v>98</v>
      </c>
      <c r="Q5" s="1">
        <v>-106.13444444444445</v>
      </c>
      <c r="R5" s="1">
        <v>56.933055555555555</v>
      </c>
      <c r="S5" s="1">
        <v>430929</v>
      </c>
      <c r="T5" s="1">
        <v>6310520</v>
      </c>
      <c r="U5" s="2" t="s">
        <v>122</v>
      </c>
    </row>
    <row r="6" spans="1:25" x14ac:dyDescent="0.25">
      <c r="A6" s="1" t="s">
        <v>48</v>
      </c>
      <c r="B6" s="2" t="s">
        <v>29</v>
      </c>
      <c r="C6" s="2" t="s">
        <v>30</v>
      </c>
      <c r="D6" s="1" t="s">
        <v>3</v>
      </c>
      <c r="E6" s="1" t="s">
        <v>148</v>
      </c>
      <c r="F6" s="1" t="s">
        <v>4</v>
      </c>
      <c r="G6" s="1" t="str">
        <f>IF('Working table'!$F4=$X$2,$Y$2,IF('Working table'!$F4=$X$3,$Y$3,IF('Working table'!$F4=$X$4,$Y$4,IF('Working table'!$F4=$X$5,$Y$5,$Y$6))))</f>
        <v>Ttn</v>
      </c>
      <c r="H6" s="1">
        <v>1789</v>
      </c>
      <c r="I6" s="4">
        <v>4</v>
      </c>
      <c r="J6" s="4" t="s">
        <v>313</v>
      </c>
      <c r="K6" s="1" t="str">
        <f>H6 &amp; " " &amp; J6</f>
        <v>1789 ±4</v>
      </c>
      <c r="L6" s="1" t="str">
        <f>H6&amp;" "&amp;J6&amp;" "&amp;"("&amp;G6&amp;")"</f>
        <v>1789 ±4 (Ttn)</v>
      </c>
      <c r="M6" s="5" t="s">
        <v>5</v>
      </c>
      <c r="N6" s="1" t="s">
        <v>149</v>
      </c>
      <c r="P6" s="5" t="s">
        <v>98</v>
      </c>
      <c r="Q6" s="1">
        <v>-106.15277777777779</v>
      </c>
      <c r="R6" s="1">
        <v>56.831388888888895</v>
      </c>
      <c r="S6" s="1">
        <v>429777</v>
      </c>
      <c r="T6" s="1">
        <v>6299228</v>
      </c>
      <c r="U6" s="2" t="s">
        <v>118</v>
      </c>
      <c r="X6" s="18" t="s">
        <v>123</v>
      </c>
      <c r="Y6" s="22" t="s">
        <v>298</v>
      </c>
    </row>
    <row r="7" spans="1:25" x14ac:dyDescent="0.25">
      <c r="A7" s="1" t="s">
        <v>90</v>
      </c>
      <c r="B7" s="2" t="s">
        <v>62</v>
      </c>
      <c r="C7" s="2" t="s">
        <v>38</v>
      </c>
      <c r="D7" s="1" t="s">
        <v>3</v>
      </c>
      <c r="E7" s="1" t="s">
        <v>148</v>
      </c>
      <c r="F7" s="1" t="s">
        <v>8</v>
      </c>
      <c r="G7" s="1" t="str">
        <f>IF('Working table'!$F40=$X$2,$Y$2,IF('Working table'!$F40=$X$3,$Y$3,IF('Working table'!$F40=$X$4,$Y$4,IF('Working table'!$F40=$X$5,$Y$5,$Y$6))))</f>
        <v>Xtm</v>
      </c>
      <c r="H7" s="1">
        <v>2726</v>
      </c>
      <c r="I7" s="4">
        <v>5</v>
      </c>
      <c r="J7" s="1" t="s">
        <v>314</v>
      </c>
      <c r="K7" s="1" t="str">
        <f>H7 &amp; " " &amp; J7</f>
        <v>2726 ±3</v>
      </c>
      <c r="L7" s="1" t="str">
        <f>H7&amp;" "&amp;J7&amp;" "&amp;"("&amp;G7&amp;")"</f>
        <v>2726 ±3 (Xtm)</v>
      </c>
      <c r="M7" s="5" t="s">
        <v>47</v>
      </c>
      <c r="N7" s="1" t="s">
        <v>149</v>
      </c>
      <c r="P7" s="5" t="s">
        <v>157</v>
      </c>
      <c r="Q7" s="1">
        <v>-103.35249999999999</v>
      </c>
      <c r="R7" s="1">
        <v>58.419999999999995</v>
      </c>
      <c r="S7" s="1">
        <v>596240</v>
      </c>
      <c r="T7" s="1">
        <v>6476663</v>
      </c>
      <c r="U7" s="2" t="s">
        <v>122</v>
      </c>
    </row>
    <row r="8" spans="1:25" x14ac:dyDescent="0.25">
      <c r="A8" s="1" t="s">
        <v>48</v>
      </c>
      <c r="B8" s="2" t="s">
        <v>41</v>
      </c>
      <c r="C8" s="2" t="s">
        <v>38</v>
      </c>
      <c r="D8" s="1" t="s">
        <v>3</v>
      </c>
      <c r="E8" s="1" t="s">
        <v>148</v>
      </c>
      <c r="F8" s="1" t="s">
        <v>8</v>
      </c>
      <c r="G8" s="1" t="str">
        <f>IF('Working table'!$F69=$X$2,$Y$2,IF('Working table'!$F69=$X$3,$Y$3,IF('Working table'!$F69=$X$4,$Y$4,IF('Working table'!$F69=$X$5,$Y$5,$Y$6))))</f>
        <v>Xtm</v>
      </c>
      <c r="H8" s="1">
        <v>2593</v>
      </c>
      <c r="I8" s="4">
        <v>5</v>
      </c>
      <c r="J8" s="4" t="s">
        <v>321</v>
      </c>
      <c r="K8" s="1" t="str">
        <f>H8 &amp; " " &amp; J8</f>
        <v>2593 ±5</v>
      </c>
      <c r="L8" s="1" t="str">
        <f>H8&amp;" "&amp;J8&amp;" "&amp;"("&amp;G8&amp;")"</f>
        <v>2593 ±5 (Xtm)</v>
      </c>
      <c r="M8" s="5" t="s">
        <v>47</v>
      </c>
      <c r="N8" s="1" t="s">
        <v>104</v>
      </c>
      <c r="O8" s="1" t="s">
        <v>218</v>
      </c>
      <c r="P8" s="5" t="s">
        <v>145</v>
      </c>
      <c r="Q8" s="1">
        <v>-105.05305555555556</v>
      </c>
      <c r="R8" s="1">
        <v>57.47</v>
      </c>
      <c r="S8" s="1">
        <v>496791</v>
      </c>
      <c r="T8" s="1">
        <v>6369707</v>
      </c>
      <c r="U8" s="2" t="s">
        <v>124</v>
      </c>
    </row>
    <row r="9" spans="1:25" x14ac:dyDescent="0.25">
      <c r="A9" s="1" t="s">
        <v>48</v>
      </c>
      <c r="B9" s="2" t="s">
        <v>41</v>
      </c>
      <c r="C9" s="2" t="s">
        <v>38</v>
      </c>
      <c r="D9" s="1" t="s">
        <v>3</v>
      </c>
      <c r="E9" s="1" t="s">
        <v>148</v>
      </c>
      <c r="F9" s="1" t="s">
        <v>12</v>
      </c>
      <c r="G9" s="1" t="str">
        <f>IF('Working table'!$F70=$X$2,$Y$2,IF('Working table'!$F70=$X$3,$Y$3,IF('Working table'!$F70=$X$4,$Y$4,IF('Working table'!$F70=$X$5,$Y$5,$Y$6))))</f>
        <v>Xtm</v>
      </c>
      <c r="H9" s="1">
        <v>1819</v>
      </c>
      <c r="I9" s="4">
        <v>2</v>
      </c>
      <c r="J9" s="4" t="s">
        <v>312</v>
      </c>
      <c r="K9" s="1" t="str">
        <f>H9 &amp; " " &amp; J9</f>
        <v>1819 ±2</v>
      </c>
      <c r="L9" s="1" t="str">
        <f>H9&amp;" "&amp;J9&amp;" "&amp;"("&amp;G9&amp;")"</f>
        <v>1819 ±2 (Xtm)</v>
      </c>
      <c r="M9" s="5" t="s">
        <v>5</v>
      </c>
      <c r="N9" s="1" t="s">
        <v>104</v>
      </c>
      <c r="O9" s="1" t="s">
        <v>217</v>
      </c>
      <c r="P9" s="5" t="s">
        <v>145</v>
      </c>
      <c r="Q9" s="1">
        <v>-105.05305555555556</v>
      </c>
      <c r="R9" s="1">
        <v>57.47</v>
      </c>
      <c r="S9" s="1">
        <v>496791</v>
      </c>
      <c r="T9" s="1">
        <v>6369707</v>
      </c>
      <c r="U9" s="2" t="s">
        <v>124</v>
      </c>
    </row>
    <row r="10" spans="1:25" x14ac:dyDescent="0.25">
      <c r="A10" s="1" t="s">
        <v>48</v>
      </c>
      <c r="B10" s="2" t="s">
        <v>37</v>
      </c>
      <c r="C10" s="2" t="s">
        <v>38</v>
      </c>
      <c r="D10" s="1" t="s">
        <v>3</v>
      </c>
      <c r="E10" s="1" t="s">
        <v>148</v>
      </c>
      <c r="F10" s="1" t="s">
        <v>8</v>
      </c>
      <c r="G10" s="1" t="str">
        <f>IF('Working table'!$F87=$X$2,$Y$2,IF('Working table'!$F87=$X$3,$Y$3,IF('Working table'!$F87=$X$4,$Y$4,IF('Working table'!$F87=$X$5,$Y$5,$Y$6))))</f>
        <v>Xtm</v>
      </c>
      <c r="H10" s="1">
        <v>1818</v>
      </c>
      <c r="I10" s="4">
        <v>1</v>
      </c>
      <c r="J10" s="4" t="s">
        <v>311</v>
      </c>
      <c r="K10" s="1" t="str">
        <f>H10 &amp; " " &amp; J10</f>
        <v>1818 ±1</v>
      </c>
      <c r="L10" s="1" t="str">
        <f>H10&amp;" "&amp;J10&amp;" "&amp;"("&amp;G10&amp;")"</f>
        <v>1818 ±1 (Xtm)</v>
      </c>
      <c r="M10" s="5" t="s">
        <v>47</v>
      </c>
      <c r="N10" s="1" t="s">
        <v>104</v>
      </c>
      <c r="O10" s="1" t="s">
        <v>210</v>
      </c>
      <c r="P10" s="5" t="s">
        <v>115</v>
      </c>
      <c r="Q10" s="1">
        <v>-105.30722222222222</v>
      </c>
      <c r="R10" s="1">
        <v>57.508333333333333</v>
      </c>
      <c r="S10" s="1">
        <v>481567</v>
      </c>
      <c r="T10" s="1">
        <v>6374041</v>
      </c>
      <c r="U10" s="2" t="s">
        <v>124</v>
      </c>
    </row>
    <row r="11" spans="1:25" x14ac:dyDescent="0.25">
      <c r="A11" s="1" t="s">
        <v>48</v>
      </c>
      <c r="B11" s="2" t="s">
        <v>37</v>
      </c>
      <c r="C11" s="2" t="s">
        <v>38</v>
      </c>
      <c r="D11" s="1" t="s">
        <v>3</v>
      </c>
      <c r="E11" s="1" t="s">
        <v>148</v>
      </c>
      <c r="F11" s="1" t="s">
        <v>12</v>
      </c>
      <c r="G11" s="1" t="str">
        <f>IF('Working table'!$F88=$X$2,$Y$2,IF('Working table'!$F88=$X$3,$Y$3,IF('Working table'!$F88=$X$4,$Y$4,IF('Working table'!$F88=$X$5,$Y$5,$Y$6))))</f>
        <v>Xtm</v>
      </c>
      <c r="H11" s="1">
        <v>1783</v>
      </c>
      <c r="I11" s="4" t="s">
        <v>171</v>
      </c>
      <c r="J11" s="4" t="s">
        <v>312</v>
      </c>
      <c r="K11" s="1" t="str">
        <f>H11 &amp; " " &amp; J11</f>
        <v>1783 ±2</v>
      </c>
      <c r="L11" s="1" t="str">
        <f>H11&amp;" "&amp;J11&amp;" "&amp;"("&amp;G11&amp;")"</f>
        <v>1783 ±2 (Xtm)</v>
      </c>
      <c r="M11" s="5" t="s">
        <v>5</v>
      </c>
      <c r="N11" s="1" t="s">
        <v>104</v>
      </c>
      <c r="O11" s="1" t="s">
        <v>210</v>
      </c>
      <c r="P11" s="5" t="s">
        <v>115</v>
      </c>
      <c r="Q11" s="1">
        <v>-105.30722222222222</v>
      </c>
      <c r="R11" s="1">
        <v>57.508333333333333</v>
      </c>
      <c r="S11" s="1">
        <v>481567</v>
      </c>
      <c r="T11" s="1">
        <v>6374041</v>
      </c>
      <c r="U11" s="2" t="s">
        <v>124</v>
      </c>
    </row>
    <row r="12" spans="1:25" x14ac:dyDescent="0.25">
      <c r="A12" s="1" t="s">
        <v>48</v>
      </c>
      <c r="B12" s="2" t="s">
        <v>37</v>
      </c>
      <c r="C12" s="2" t="s">
        <v>38</v>
      </c>
      <c r="D12" s="1" t="s">
        <v>3</v>
      </c>
      <c r="E12" s="1" t="s">
        <v>148</v>
      </c>
      <c r="F12" s="1" t="s">
        <v>12</v>
      </c>
      <c r="G12" s="1" t="str">
        <f>IF('Working table'!$F89=$X$2,$Y$2,IF('Working table'!$F89=$X$3,$Y$3,IF('Working table'!$F89=$X$4,$Y$4,IF('Working table'!$F89=$X$5,$Y$5,$Y$6))))</f>
        <v>Xtm</v>
      </c>
      <c r="H12" s="1">
        <v>1797</v>
      </c>
      <c r="I12" s="4">
        <v>1</v>
      </c>
      <c r="J12" s="4" t="s">
        <v>311</v>
      </c>
      <c r="K12" s="1" t="str">
        <f>H12 &amp; " " &amp; J12</f>
        <v>1797 ±1</v>
      </c>
      <c r="L12" s="1" t="str">
        <f>H12&amp;" "&amp;J12&amp;" "&amp;"("&amp;G12&amp;")"</f>
        <v>1797 ±1 (Xtm)</v>
      </c>
      <c r="M12" s="5" t="s">
        <v>5</v>
      </c>
      <c r="N12" s="1" t="s">
        <v>104</v>
      </c>
      <c r="O12" s="1" t="s">
        <v>210</v>
      </c>
      <c r="P12" s="5" t="s">
        <v>115</v>
      </c>
      <c r="Q12" s="1">
        <v>-105.30722222222222</v>
      </c>
      <c r="R12" s="1">
        <v>57.508333333333333</v>
      </c>
      <c r="S12" s="1">
        <v>481567</v>
      </c>
      <c r="T12" s="1">
        <v>6374041</v>
      </c>
      <c r="U12" s="2" t="s">
        <v>124</v>
      </c>
    </row>
    <row r="13" spans="1:25" x14ac:dyDescent="0.25">
      <c r="A13" s="1" t="s">
        <v>48</v>
      </c>
      <c r="B13" s="2" t="s">
        <v>37</v>
      </c>
      <c r="C13" s="2" t="s">
        <v>38</v>
      </c>
      <c r="D13" s="1" t="s">
        <v>3</v>
      </c>
      <c r="E13" s="1" t="s">
        <v>148</v>
      </c>
      <c r="F13" s="1" t="s">
        <v>12</v>
      </c>
      <c r="G13" s="1" t="str">
        <f>IF('Working table'!$F90=$X$2,$Y$2,IF('Working table'!$F90=$X$3,$Y$3,IF('Working table'!$F90=$X$4,$Y$4,IF('Working table'!$F90=$X$5,$Y$5,$Y$6))))</f>
        <v>Xtm</v>
      </c>
      <c r="H13" s="1">
        <v>1810</v>
      </c>
      <c r="I13" s="4">
        <v>1</v>
      </c>
      <c r="J13" s="4" t="s">
        <v>311</v>
      </c>
      <c r="K13" s="1" t="str">
        <f>H13 &amp; " " &amp; J13</f>
        <v>1810 ±1</v>
      </c>
      <c r="L13" s="1" t="str">
        <f>H13&amp;" "&amp;J13&amp;" "&amp;"("&amp;G13&amp;")"</f>
        <v>1810 ±1 (Xtm)</v>
      </c>
      <c r="M13" s="5" t="s">
        <v>5</v>
      </c>
      <c r="N13" s="1" t="s">
        <v>104</v>
      </c>
      <c r="O13" s="1" t="s">
        <v>211</v>
      </c>
      <c r="P13" s="5" t="s">
        <v>115</v>
      </c>
      <c r="Q13" s="1">
        <v>-105.30722222222222</v>
      </c>
      <c r="R13" s="1">
        <v>57.508333333333333</v>
      </c>
      <c r="S13" s="1">
        <v>481567</v>
      </c>
      <c r="T13" s="1">
        <v>6374041</v>
      </c>
      <c r="U13" s="2" t="s">
        <v>124</v>
      </c>
    </row>
    <row r="14" spans="1:25" x14ac:dyDescent="0.25">
      <c r="A14" s="1" t="s">
        <v>90</v>
      </c>
      <c r="B14" s="2" t="s">
        <v>63</v>
      </c>
      <c r="C14" s="2" t="s">
        <v>60</v>
      </c>
      <c r="D14" s="1" t="s">
        <v>3</v>
      </c>
      <c r="E14" s="1" t="s">
        <v>148</v>
      </c>
      <c r="F14" s="1" t="s">
        <v>8</v>
      </c>
      <c r="G14" s="1" t="str">
        <f>IF('Working table'!$F41=$X$2,$Y$2,IF('Working table'!$F41=$X$3,$Y$3,IF('Working table'!$F41=$X$4,$Y$4,IF('Working table'!$F41=$X$5,$Y$5,$Y$6))))</f>
        <v>Xtm</v>
      </c>
      <c r="H14" s="1">
        <v>1840</v>
      </c>
      <c r="I14" s="4" t="s">
        <v>308</v>
      </c>
      <c r="J14" s="1" t="s">
        <v>322</v>
      </c>
      <c r="K14" s="1" t="str">
        <f>H14 &amp; " " &amp; J14</f>
        <v>1840 ±11</v>
      </c>
      <c r="L14" s="1" t="str">
        <f>H14&amp;" "&amp;J14&amp;" "&amp;"("&amp;G14&amp;")"</f>
        <v>1840 ±11 (Xtm)</v>
      </c>
      <c r="M14" s="5" t="s">
        <v>47</v>
      </c>
      <c r="N14" s="1" t="s">
        <v>149</v>
      </c>
      <c r="P14" s="5" t="s">
        <v>99</v>
      </c>
      <c r="Q14" s="1">
        <v>-103.33</v>
      </c>
      <c r="R14" s="1">
        <v>59.412777777777777</v>
      </c>
      <c r="S14" s="1">
        <v>597570</v>
      </c>
      <c r="T14" s="1">
        <v>6475893</v>
      </c>
      <c r="U14" s="2" t="s">
        <v>122</v>
      </c>
    </row>
    <row r="15" spans="1:25" x14ac:dyDescent="0.25">
      <c r="A15" s="1" t="s">
        <v>90</v>
      </c>
      <c r="B15" s="2" t="s">
        <v>63</v>
      </c>
      <c r="C15" s="2" t="s">
        <v>60</v>
      </c>
      <c r="D15" s="1" t="s">
        <v>3</v>
      </c>
      <c r="E15" s="1" t="s">
        <v>148</v>
      </c>
      <c r="F15" s="1" t="s">
        <v>12</v>
      </c>
      <c r="G15" s="1" t="str">
        <f>IF('Working table'!$F42=$X$2,$Y$2,IF('Working table'!$F42=$X$3,$Y$3,IF('Working table'!$F42=$X$4,$Y$4,IF('Working table'!$F42=$X$5,$Y$5,$Y$6))))</f>
        <v>Xtm</v>
      </c>
      <c r="H15" s="1">
        <v>1790</v>
      </c>
      <c r="I15" s="4">
        <v>1</v>
      </c>
      <c r="J15" s="4" t="s">
        <v>311</v>
      </c>
      <c r="K15" s="1" t="str">
        <f>H15 &amp; " " &amp; J15</f>
        <v>1790 ±1</v>
      </c>
      <c r="L15" s="1" t="str">
        <f>H15&amp;" "&amp;J15&amp;" "&amp;"("&amp;G15&amp;")"</f>
        <v>1790 ±1 (Xtm)</v>
      </c>
      <c r="M15" s="5" t="s">
        <v>5</v>
      </c>
      <c r="N15" s="1" t="s">
        <v>149</v>
      </c>
      <c r="P15" s="5" t="s">
        <v>99</v>
      </c>
      <c r="Q15" s="1">
        <v>-103.33</v>
      </c>
      <c r="R15" s="1">
        <v>59.412777777777777</v>
      </c>
      <c r="S15" s="1">
        <v>597570</v>
      </c>
      <c r="T15" s="1">
        <v>6475893</v>
      </c>
      <c r="U15" s="2" t="s">
        <v>122</v>
      </c>
      <c r="V15" s="2" t="s">
        <v>131</v>
      </c>
    </row>
    <row r="16" spans="1:25" x14ac:dyDescent="0.25">
      <c r="A16" s="1" t="s">
        <v>90</v>
      </c>
      <c r="B16" s="2" t="s">
        <v>66</v>
      </c>
      <c r="C16" s="2" t="s">
        <v>67</v>
      </c>
      <c r="D16" s="1" t="s">
        <v>3</v>
      </c>
      <c r="E16" s="1" t="s">
        <v>148</v>
      </c>
      <c r="F16" s="1" t="s">
        <v>4</v>
      </c>
      <c r="G16" s="1" t="str">
        <f>IF('Working table'!$F81=$X$2,$Y$2,IF('Working table'!$F81=$X$3,$Y$3,IF('Working table'!$F81=$X$4,$Y$4,IF('Working table'!$F81=$X$5,$Y$5,$Y$6))))</f>
        <v>Xtm</v>
      </c>
      <c r="H16" s="1">
        <v>1752</v>
      </c>
      <c r="I16" s="4">
        <v>2</v>
      </c>
      <c r="J16" s="4" t="s">
        <v>312</v>
      </c>
      <c r="K16" s="1" t="str">
        <f>H16 &amp; " " &amp; J16</f>
        <v>1752 ±2</v>
      </c>
      <c r="L16" s="1" t="str">
        <f>H16&amp;" "&amp;J16&amp;" "&amp;"("&amp;G16&amp;")"</f>
        <v>1752 ±2 (Xtm)</v>
      </c>
      <c r="M16" s="5" t="s">
        <v>5</v>
      </c>
      <c r="N16" s="1" t="s">
        <v>104</v>
      </c>
      <c r="P16" s="5" t="s">
        <v>172</v>
      </c>
      <c r="Q16" s="1">
        <v>-103.90194444444445</v>
      </c>
      <c r="R16" s="1">
        <v>58.225277777777777</v>
      </c>
      <c r="S16" s="1">
        <v>564493</v>
      </c>
      <c r="T16" s="1">
        <v>6454320</v>
      </c>
      <c r="U16" s="2" t="s">
        <v>122</v>
      </c>
      <c r="V16" s="2" t="s">
        <v>129</v>
      </c>
    </row>
    <row r="17" spans="1:22" x14ac:dyDescent="0.25">
      <c r="B17" s="2" t="s">
        <v>284</v>
      </c>
      <c r="C17" t="s">
        <v>143</v>
      </c>
      <c r="D17" s="1" t="s">
        <v>3</v>
      </c>
      <c r="E17" s="1" t="s">
        <v>135</v>
      </c>
      <c r="F17" s="1" t="s">
        <v>8</v>
      </c>
      <c r="G17" s="1" t="str">
        <f>IF('Working table'!$F92=$X$2,$Y$2,IF('Working table'!$F92=$X$3,$Y$3,IF('Working table'!$F92=$X$4,$Y$4,IF('Working table'!$F92=$X$5,$Y$5,$Y$6))))</f>
        <v>Xtm</v>
      </c>
      <c r="H17" s="7">
        <v>2612</v>
      </c>
      <c r="I17" s="4">
        <v>22</v>
      </c>
      <c r="J17" s="4" t="s">
        <v>332</v>
      </c>
      <c r="K17" s="1" t="str">
        <f>H17 &amp; " " &amp; J17</f>
        <v>2612 ±22</v>
      </c>
      <c r="L17" s="1" t="str">
        <f>H17&amp;" "&amp;J17&amp;" "&amp;"("&amp;G17&amp;")"</f>
        <v>2612 ±22 (Xtm)</v>
      </c>
      <c r="M17" s="5" t="s">
        <v>47</v>
      </c>
      <c r="N17" s="1" t="s">
        <v>104</v>
      </c>
      <c r="P17" s="5" t="s">
        <v>142</v>
      </c>
      <c r="Q17" t="s">
        <v>278</v>
      </c>
      <c r="R17" t="s">
        <v>278</v>
      </c>
      <c r="S17"/>
      <c r="T17"/>
      <c r="U17" s="2" t="s">
        <v>137</v>
      </c>
    </row>
    <row r="18" spans="1:22" x14ac:dyDescent="0.25">
      <c r="B18" s="2" t="s">
        <v>284</v>
      </c>
      <c r="C18" t="s">
        <v>143</v>
      </c>
      <c r="D18" s="1" t="s">
        <v>3</v>
      </c>
      <c r="E18" s="1" t="s">
        <v>135</v>
      </c>
      <c r="F18" s="1" t="s">
        <v>12</v>
      </c>
      <c r="G18" s="1" t="str">
        <f>IF('Working table'!$F93=$X$2,$Y$2,IF('Working table'!$F93=$X$3,$Y$3,IF('Working table'!$F93=$X$4,$Y$4,IF('Working table'!$F93=$X$5,$Y$5,$Y$6))))</f>
        <v>Xtm</v>
      </c>
      <c r="H18" s="7">
        <v>1803</v>
      </c>
      <c r="I18" s="4">
        <v>1</v>
      </c>
      <c r="J18" s="4" t="s">
        <v>311</v>
      </c>
      <c r="K18" s="1" t="str">
        <f>H18 &amp; " " &amp; J18</f>
        <v>1803 ±1</v>
      </c>
      <c r="L18" s="1" t="str">
        <f>H18&amp;" "&amp;J18&amp;" "&amp;"("&amp;G18&amp;")"</f>
        <v>1803 ±1 (Xtm)</v>
      </c>
      <c r="M18" s="5" t="s">
        <v>5</v>
      </c>
      <c r="N18" s="1" t="s">
        <v>104</v>
      </c>
      <c r="P18" s="5" t="s">
        <v>142</v>
      </c>
      <c r="Q18" t="s">
        <v>278</v>
      </c>
      <c r="R18" t="s">
        <v>278</v>
      </c>
      <c r="S18"/>
      <c r="T18"/>
      <c r="U18" s="2" t="s">
        <v>137</v>
      </c>
    </row>
    <row r="19" spans="1:22" x14ac:dyDescent="0.25">
      <c r="A19" s="1" t="s">
        <v>90</v>
      </c>
      <c r="B19" s="2" t="s">
        <v>82</v>
      </c>
      <c r="C19" s="2" t="s">
        <v>43</v>
      </c>
      <c r="D19" s="1" t="s">
        <v>3</v>
      </c>
      <c r="E19" s="1" t="s">
        <v>148</v>
      </c>
      <c r="F19" s="1" t="s">
        <v>8</v>
      </c>
      <c r="G19" s="1" t="str">
        <f>IF('Working table'!$F46=$X$2,$Y$2,IF('Working table'!$F46=$X$3,$Y$3,IF('Working table'!$F46=$X$4,$Y$4,IF('Working table'!$F46=$X$5,$Y$5,$Y$6))))</f>
        <v>Xtm</v>
      </c>
      <c r="H19" s="1">
        <v>2626</v>
      </c>
      <c r="I19" s="4" t="s">
        <v>163</v>
      </c>
      <c r="J19" s="1" t="s">
        <v>324</v>
      </c>
      <c r="K19" s="1" t="str">
        <f>H19 &amp; " " &amp; J19</f>
        <v>2626 ±15</v>
      </c>
      <c r="L19" s="1" t="str">
        <f>H19&amp;" "&amp;J19&amp;" "&amp;"("&amp;G19&amp;")"</f>
        <v>2626 ±15 (Xtm)</v>
      </c>
      <c r="M19" s="5" t="s">
        <v>47</v>
      </c>
      <c r="N19" s="1" t="s">
        <v>149</v>
      </c>
      <c r="P19" s="5" t="s">
        <v>103</v>
      </c>
      <c r="Q19" s="1">
        <v>-103.60527777777777</v>
      </c>
      <c r="R19" s="1">
        <v>58.151111111111106</v>
      </c>
      <c r="S19" s="1">
        <v>582082</v>
      </c>
      <c r="T19" s="1">
        <v>6446396</v>
      </c>
      <c r="U19" s="2" t="s">
        <v>122</v>
      </c>
    </row>
    <row r="20" spans="1:22" x14ac:dyDescent="0.25">
      <c r="A20" s="1" t="s">
        <v>90</v>
      </c>
      <c r="B20" s="2" t="s">
        <v>82</v>
      </c>
      <c r="C20" s="2" t="s">
        <v>43</v>
      </c>
      <c r="D20" s="1" t="s">
        <v>3</v>
      </c>
      <c r="E20" s="1" t="s">
        <v>148</v>
      </c>
      <c r="F20" s="1" t="s">
        <v>8</v>
      </c>
      <c r="G20" s="1" t="str">
        <f>IF('Working table'!$F47=$X$2,$Y$2,IF('Working table'!$F47=$X$3,$Y$3,IF('Working table'!$F47=$X$4,$Y$4,IF('Working table'!$F47=$X$5,$Y$5,$Y$6))))</f>
        <v>Ttn</v>
      </c>
      <c r="H20" s="1">
        <v>1837</v>
      </c>
      <c r="I20" s="4" t="s">
        <v>164</v>
      </c>
      <c r="J20" s="4" t="s">
        <v>325</v>
      </c>
      <c r="K20" s="1" t="str">
        <f>H20 &amp; " " &amp; J20</f>
        <v>1837 ±34</v>
      </c>
      <c r="L20" s="1" t="str">
        <f>H20&amp;" "&amp;J20&amp;" "&amp;"("&amp;G20&amp;")"</f>
        <v>1837 ±34 (Ttn)</v>
      </c>
      <c r="M20" s="5" t="s">
        <v>412</v>
      </c>
      <c r="N20" s="1" t="s">
        <v>149</v>
      </c>
      <c r="P20" s="5" t="s">
        <v>103</v>
      </c>
      <c r="Q20" s="1">
        <v>-103.60527777777777</v>
      </c>
      <c r="R20" s="1">
        <v>58.151111111111106</v>
      </c>
      <c r="S20" s="1">
        <v>582082</v>
      </c>
      <c r="T20" s="1">
        <v>6446396</v>
      </c>
      <c r="U20" s="2" t="s">
        <v>122</v>
      </c>
    </row>
    <row r="21" spans="1:22" x14ac:dyDescent="0.25">
      <c r="A21" s="1" t="s">
        <v>48</v>
      </c>
      <c r="B21" s="2" t="s">
        <v>42</v>
      </c>
      <c r="C21" s="2" t="s">
        <v>43</v>
      </c>
      <c r="D21" s="1" t="s">
        <v>3</v>
      </c>
      <c r="E21" s="1" t="s">
        <v>148</v>
      </c>
      <c r="F21" s="1" t="s">
        <v>8</v>
      </c>
      <c r="G21" s="1" t="str">
        <f>IF('Working table'!$F68=$X$2,$Y$2,IF('Working table'!$F68=$X$3,$Y$3,IF('Working table'!$F68=$X$4,$Y$4,IF('Working table'!$F68=$X$5,$Y$5,$Y$6))))</f>
        <v>Xtm</v>
      </c>
      <c r="H21" s="1">
        <v>2592</v>
      </c>
      <c r="I21" s="4" t="s">
        <v>216</v>
      </c>
      <c r="J21" s="1" t="s">
        <v>328</v>
      </c>
      <c r="K21" s="1" t="str">
        <f>H21 &amp; " " &amp; J21</f>
        <v>2592 ±7</v>
      </c>
      <c r="L21" s="1" t="str">
        <f>H21&amp;" "&amp;J21&amp;" "&amp;"("&amp;G21&amp;")"</f>
        <v>2592 ±7 (Xtm)</v>
      </c>
      <c r="M21" s="5" t="s">
        <v>47</v>
      </c>
      <c r="N21" s="1" t="s">
        <v>104</v>
      </c>
      <c r="O21" s="1" t="s">
        <v>215</v>
      </c>
      <c r="P21" s="5" t="s">
        <v>133</v>
      </c>
      <c r="Q21" s="1">
        <v>-104.9825</v>
      </c>
      <c r="R21" s="1">
        <v>57.483888888888892</v>
      </c>
      <c r="S21" s="1">
        <v>501020</v>
      </c>
      <c r="T21" s="1">
        <v>6371271</v>
      </c>
      <c r="U21" s="2" t="s">
        <v>124</v>
      </c>
      <c r="V21" s="2" t="s">
        <v>126</v>
      </c>
    </row>
    <row r="22" spans="1:22" x14ac:dyDescent="0.25">
      <c r="B22" s="2" t="s">
        <v>286</v>
      </c>
      <c r="C22" t="s">
        <v>144</v>
      </c>
      <c r="D22" s="1" t="s">
        <v>3</v>
      </c>
      <c r="E22" s="1" t="s">
        <v>135</v>
      </c>
      <c r="F22" s="1" t="s">
        <v>8</v>
      </c>
      <c r="G22" s="1" t="str">
        <f>IF('Working table'!$F94=$X$2,$Y$2,IF('Working table'!$F94=$X$3,$Y$3,IF('Working table'!$F94=$X$4,$Y$4,IF('Working table'!$F94=$X$5,$Y$5,$Y$6))))</f>
        <v>Xtm</v>
      </c>
      <c r="H22" s="7">
        <v>2583</v>
      </c>
      <c r="I22" s="4">
        <v>14</v>
      </c>
      <c r="J22" s="4" t="s">
        <v>317</v>
      </c>
      <c r="K22" s="1" t="str">
        <f>H22 &amp; " " &amp; J22</f>
        <v>2583 ±14</v>
      </c>
      <c r="L22" s="1" t="str">
        <f>H22&amp;" "&amp;J22&amp;" "&amp;"("&amp;G22&amp;")"</f>
        <v>2583 ±14 (Xtm)</v>
      </c>
      <c r="M22" s="5" t="s">
        <v>47</v>
      </c>
      <c r="N22" s="1" t="s">
        <v>104</v>
      </c>
      <c r="P22" s="5" t="s">
        <v>142</v>
      </c>
      <c r="Q22" t="s">
        <v>278</v>
      </c>
      <c r="R22" t="s">
        <v>278</v>
      </c>
      <c r="S22"/>
      <c r="T22"/>
      <c r="U22" s="2" t="s">
        <v>137</v>
      </c>
    </row>
    <row r="23" spans="1:22" x14ac:dyDescent="0.25">
      <c r="B23" s="2" t="s">
        <v>286</v>
      </c>
      <c r="C23" t="s">
        <v>144</v>
      </c>
      <c r="D23" s="1" t="s">
        <v>3</v>
      </c>
      <c r="E23" s="1" t="s">
        <v>135</v>
      </c>
      <c r="F23" s="1" t="s">
        <v>12</v>
      </c>
      <c r="G23" s="1" t="str">
        <f>IF('Working table'!$F95=$X$2,$Y$2,IF('Working table'!$F95=$X$3,$Y$3,IF('Working table'!$F95=$X$4,$Y$4,IF('Working table'!$F95=$X$5,$Y$5,$Y$6))))</f>
        <v>Xtm</v>
      </c>
      <c r="H23" s="7">
        <v>1821.9</v>
      </c>
      <c r="I23" s="4">
        <v>2</v>
      </c>
      <c r="J23" s="4" t="s">
        <v>312</v>
      </c>
      <c r="K23" s="1" t="str">
        <f>H23 &amp; " " &amp; J23</f>
        <v>1821.9 ±2</v>
      </c>
      <c r="L23" s="1" t="str">
        <f>H23&amp;" "&amp;J23&amp;" "&amp;"("&amp;G23&amp;")"</f>
        <v>1821.9 ±2 (Xtm)</v>
      </c>
      <c r="M23" s="5" t="s">
        <v>5</v>
      </c>
      <c r="N23" s="1" t="s">
        <v>104</v>
      </c>
      <c r="P23" s="5" t="s">
        <v>142</v>
      </c>
      <c r="Q23" t="s">
        <v>278</v>
      </c>
      <c r="R23" t="s">
        <v>278</v>
      </c>
      <c r="S23"/>
      <c r="T23"/>
      <c r="U23" s="2" t="s">
        <v>137</v>
      </c>
    </row>
    <row r="24" spans="1:22" x14ac:dyDescent="0.25">
      <c r="B24" t="s">
        <v>227</v>
      </c>
      <c r="C24" t="s">
        <v>136</v>
      </c>
      <c r="D24" s="1" t="s">
        <v>3</v>
      </c>
      <c r="E24" s="1" t="s">
        <v>135</v>
      </c>
      <c r="F24" s="1" t="s">
        <v>8</v>
      </c>
      <c r="G24" s="1" t="str">
        <f>IF('Working table'!$F60=$X$2,$Y$2,IF('Working table'!$F60=$X$3,$Y$3,IF('Working table'!$F60=$X$4,$Y$4,IF('Working table'!$F60=$X$5,$Y$5,$Y$6))))</f>
        <v>Ttn</v>
      </c>
      <c r="H24" s="7">
        <v>1816</v>
      </c>
      <c r="I24" s="4">
        <v>7</v>
      </c>
      <c r="J24" s="4" t="s">
        <v>328</v>
      </c>
      <c r="K24" s="1" t="str">
        <f>H24 &amp; " " &amp; J24</f>
        <v>1816 ±7</v>
      </c>
      <c r="L24" s="1" t="str">
        <f>H24&amp;" "&amp;J24&amp;" "&amp;"("&amp;G24&amp;")"</f>
        <v>1816 ±7 (Ttn)</v>
      </c>
      <c r="M24" s="5" t="s">
        <v>47</v>
      </c>
      <c r="N24" s="1" t="s">
        <v>104</v>
      </c>
      <c r="O24" s="1" t="s">
        <v>221</v>
      </c>
      <c r="P24" s="5" t="s">
        <v>139</v>
      </c>
      <c r="Q24" t="s">
        <v>278</v>
      </c>
      <c r="R24" t="s">
        <v>278</v>
      </c>
      <c r="S24"/>
      <c r="T24"/>
      <c r="U24" s="2" t="s">
        <v>137</v>
      </c>
    </row>
    <row r="25" spans="1:22" x14ac:dyDescent="0.25">
      <c r="B25" t="s">
        <v>227</v>
      </c>
      <c r="C25" t="s">
        <v>136</v>
      </c>
      <c r="D25" s="1" t="s">
        <v>3</v>
      </c>
      <c r="E25" s="1" t="s">
        <v>135</v>
      </c>
      <c r="F25" s="1" t="s">
        <v>12</v>
      </c>
      <c r="G25" s="1" t="str">
        <f>IF('Working table'!$F61=$X$2,$Y$2,IF('Working table'!$F61=$X$3,$Y$3,IF('Working table'!$F61=$X$4,$Y$4,IF('Working table'!$F61=$X$5,$Y$5,$Y$6))))</f>
        <v>Ttn</v>
      </c>
      <c r="H25" s="7">
        <v>1792.4</v>
      </c>
      <c r="I25" s="4">
        <v>1.2</v>
      </c>
      <c r="J25" s="4" t="s">
        <v>331</v>
      </c>
      <c r="K25" s="1" t="str">
        <f>H25 &amp; " " &amp; J25</f>
        <v>1792.4 ±1.2</v>
      </c>
      <c r="L25" s="1" t="str">
        <f>H25&amp;" "&amp;J25&amp;" "&amp;"("&amp;G25&amp;")"</f>
        <v>1792.4 ±1.2 (Ttn)</v>
      </c>
      <c r="M25" s="5" t="s">
        <v>5</v>
      </c>
      <c r="N25" s="1" t="s">
        <v>104</v>
      </c>
      <c r="O25" s="1" t="s">
        <v>221</v>
      </c>
      <c r="P25" s="5" t="s">
        <v>139</v>
      </c>
      <c r="Q25" t="s">
        <v>278</v>
      </c>
      <c r="R25" t="s">
        <v>278</v>
      </c>
      <c r="S25"/>
      <c r="T25"/>
      <c r="U25" s="2" t="s">
        <v>137</v>
      </c>
    </row>
    <row r="26" spans="1:22" x14ac:dyDescent="0.25">
      <c r="B26" t="s">
        <v>223</v>
      </c>
      <c r="C26" t="s">
        <v>136</v>
      </c>
      <c r="D26" s="1" t="s">
        <v>3</v>
      </c>
      <c r="E26" s="1" t="s">
        <v>135</v>
      </c>
      <c r="F26" s="1" t="s">
        <v>12</v>
      </c>
      <c r="G26" s="1" t="str">
        <f>IF('Working table'!$F64=$X$2,$Y$2,IF('Working table'!$F64=$X$3,$Y$3,IF('Working table'!$F64=$X$4,$Y$4,IF('Working table'!$F64=$X$5,$Y$5,$Y$6))))</f>
        <v>Xtm</v>
      </c>
      <c r="H26" s="7">
        <v>1814.6</v>
      </c>
      <c r="I26" s="4">
        <v>1.4</v>
      </c>
      <c r="J26" s="4" t="s">
        <v>327</v>
      </c>
      <c r="K26" s="1" t="str">
        <f>H26 &amp; " " &amp; J26</f>
        <v>1814.6 ±1.4</v>
      </c>
      <c r="L26" s="1" t="str">
        <f>H26&amp;" "&amp;J26&amp;" "&amp;"("&amp;G26&amp;")"</f>
        <v>1814.6 ±1.4 (Xtm)</v>
      </c>
      <c r="M26" s="5" t="s">
        <v>47</v>
      </c>
      <c r="N26" s="1" t="s">
        <v>104</v>
      </c>
      <c r="O26" s="1" t="s">
        <v>230</v>
      </c>
      <c r="P26" s="5" t="s">
        <v>133</v>
      </c>
      <c r="Q26" t="s">
        <v>278</v>
      </c>
      <c r="R26" t="s">
        <v>278</v>
      </c>
      <c r="S26"/>
      <c r="T26"/>
      <c r="U26" s="2" t="s">
        <v>137</v>
      </c>
    </row>
    <row r="27" spans="1:22" x14ac:dyDescent="0.25">
      <c r="B27" t="s">
        <v>223</v>
      </c>
      <c r="C27" t="s">
        <v>136</v>
      </c>
      <c r="D27" s="1" t="s">
        <v>3</v>
      </c>
      <c r="E27" s="1" t="s">
        <v>135</v>
      </c>
      <c r="F27" s="1" t="s">
        <v>8</v>
      </c>
      <c r="G27" s="1" t="str">
        <f>IF('Working table'!$F65=$X$2,$Y$2,IF('Working table'!$F65=$X$3,$Y$3,IF('Working table'!$F65=$X$4,$Y$4,IF('Working table'!$F65=$X$5,$Y$5,$Y$6))))</f>
        <v>Xtm</v>
      </c>
      <c r="H27" s="7">
        <v>1811.5</v>
      </c>
      <c r="I27" s="4">
        <v>5</v>
      </c>
      <c r="J27" s="4" t="s">
        <v>321</v>
      </c>
      <c r="K27" s="1" t="str">
        <f>H27 &amp; " " &amp; J27</f>
        <v>1811.5 ±5</v>
      </c>
      <c r="L27" s="1" t="str">
        <f>H27&amp;" "&amp;J27&amp;" "&amp;"("&amp;G27&amp;")"</f>
        <v>1811.5 ±5 (Xtm)</v>
      </c>
      <c r="M27" s="5" t="s">
        <v>47</v>
      </c>
      <c r="N27" s="1" t="s">
        <v>104</v>
      </c>
      <c r="O27" s="1" t="s">
        <v>230</v>
      </c>
      <c r="P27" s="5" t="s">
        <v>133</v>
      </c>
      <c r="Q27" t="s">
        <v>278</v>
      </c>
      <c r="R27" t="s">
        <v>278</v>
      </c>
      <c r="S27"/>
      <c r="T27"/>
      <c r="U27" s="2" t="s">
        <v>137</v>
      </c>
    </row>
    <row r="28" spans="1:22" x14ac:dyDescent="0.25">
      <c r="B28" s="2" t="s">
        <v>244</v>
      </c>
      <c r="C28" s="2" t="s">
        <v>136</v>
      </c>
      <c r="D28" s="1" t="s">
        <v>3</v>
      </c>
      <c r="E28" s="1" t="s">
        <v>242</v>
      </c>
      <c r="F28" s="1" t="s">
        <v>12</v>
      </c>
      <c r="G28" s="1" t="str">
        <f>IF('Working table'!$F82=$X$2,$Y$2,IF('Working table'!$F82=$X$3,$Y$3,IF('Working table'!$F82=$X$4,$Y$4,IF('Working table'!$F82=$X$5,$Y$5,$Y$6))))</f>
        <v>Xtm</v>
      </c>
      <c r="H28" s="1" t="s">
        <v>246</v>
      </c>
      <c r="J28" s="4"/>
      <c r="K28" s="1" t="str">
        <f>H28 &amp; " " &amp; J28</f>
        <v xml:space="preserve">2.05-2.25 Ga </v>
      </c>
      <c r="L28" s="1" t="str">
        <f>H28&amp;" "&amp;J28&amp;" "&amp;"("&amp;G28&amp;")"</f>
        <v>2.05-2.25 Ga  (Xtm)</v>
      </c>
      <c r="M28" s="5" t="s">
        <v>247</v>
      </c>
      <c r="N28" s="1" t="s">
        <v>104</v>
      </c>
      <c r="O28" s="1">
        <v>32.6</v>
      </c>
      <c r="P28" s="5" t="s">
        <v>245</v>
      </c>
      <c r="Q28" s="1" t="s">
        <v>278</v>
      </c>
      <c r="R28" s="1" t="s">
        <v>278</v>
      </c>
      <c r="U28" s="2" t="s">
        <v>249</v>
      </c>
    </row>
    <row r="29" spans="1:22" x14ac:dyDescent="0.25">
      <c r="B29" s="2" t="s">
        <v>239</v>
      </c>
      <c r="C29" s="2" t="s">
        <v>136</v>
      </c>
      <c r="D29" s="1" t="s">
        <v>3</v>
      </c>
      <c r="E29" s="1" t="s">
        <v>242</v>
      </c>
      <c r="F29" s="1" t="s">
        <v>241</v>
      </c>
      <c r="G29" s="1" t="str">
        <f>IF('Working table'!$F83=$X$2,$Y$2,IF('Working table'!$F83=$X$3,$Y$3,IF('Working table'!$F83=$X$4,$Y$4,IF('Working table'!$F83=$X$5,$Y$5,$Y$6))))</f>
        <v>Ttn</v>
      </c>
      <c r="H29" s="1" t="s">
        <v>243</v>
      </c>
      <c r="J29" s="4"/>
      <c r="K29" s="1" t="str">
        <f>H29 &amp; " " &amp; J29</f>
        <v xml:space="preserve">1.8-1.85 Ga </v>
      </c>
      <c r="L29" s="1" t="str">
        <f>H29&amp;" "&amp;J29&amp;" "&amp;"("&amp;G29&amp;")"</f>
        <v>1.8-1.85 Ga  (Ttn)</v>
      </c>
      <c r="M29" s="5" t="s">
        <v>47</v>
      </c>
      <c r="N29" s="1" t="s">
        <v>104</v>
      </c>
      <c r="O29" s="1">
        <v>93.5</v>
      </c>
      <c r="P29" s="5" t="s">
        <v>240</v>
      </c>
      <c r="Q29" s="1" t="s">
        <v>278</v>
      </c>
      <c r="R29" s="1" t="s">
        <v>278</v>
      </c>
      <c r="U29" s="2" t="s">
        <v>248</v>
      </c>
    </row>
    <row r="30" spans="1:22" x14ac:dyDescent="0.25">
      <c r="A30" s="1" t="s">
        <v>90</v>
      </c>
      <c r="B30" s="2" t="s">
        <v>69</v>
      </c>
      <c r="C30" s="2" t="s">
        <v>2</v>
      </c>
      <c r="D30" s="1" t="s">
        <v>3</v>
      </c>
      <c r="E30" s="1" t="s">
        <v>148</v>
      </c>
      <c r="F30" s="1" t="s">
        <v>8</v>
      </c>
      <c r="G30" s="1" t="str">
        <f>IF('Working table'!$F14=$X$2,$Y$2,IF('Working table'!$F14=$X$3,$Y$3,IF('Working table'!$F14=$X$4,$Y$4,IF('Working table'!$F14=$X$5,$Y$5,$Y$6))))</f>
        <v>Xtm</v>
      </c>
      <c r="H30" s="1">
        <v>2620</v>
      </c>
      <c r="I30" s="4" t="s">
        <v>186</v>
      </c>
      <c r="J30" s="1" t="s">
        <v>316</v>
      </c>
      <c r="K30" s="1" t="str">
        <f>H30 &amp; " " &amp; J30</f>
        <v>2620 ±10</v>
      </c>
      <c r="L30" s="1" t="str">
        <f>H30&amp;" "&amp;J30&amp;" "&amp;"("&amp;G30&amp;")"</f>
        <v>2620 ±10 (Xtm)</v>
      </c>
      <c r="M30" s="5" t="s">
        <v>47</v>
      </c>
      <c r="N30" s="1" t="s">
        <v>149</v>
      </c>
      <c r="P30" s="5" t="s">
        <v>187</v>
      </c>
      <c r="Q30" s="1">
        <v>-103.75694444444444</v>
      </c>
      <c r="R30" s="1">
        <v>58.146666666666668</v>
      </c>
      <c r="S30" s="1">
        <v>573125</v>
      </c>
      <c r="T30" s="1">
        <v>6445480</v>
      </c>
      <c r="U30" s="2" t="s">
        <v>118</v>
      </c>
    </row>
    <row r="31" spans="1:22" x14ac:dyDescent="0.25">
      <c r="A31" s="1" t="s">
        <v>90</v>
      </c>
      <c r="B31" s="2" t="s">
        <v>69</v>
      </c>
      <c r="C31" s="2" t="s">
        <v>2</v>
      </c>
      <c r="D31" s="1" t="s">
        <v>3</v>
      </c>
      <c r="E31" s="1" t="s">
        <v>148</v>
      </c>
      <c r="F31" s="1" t="s">
        <v>8</v>
      </c>
      <c r="G31" s="1" t="str">
        <f>IF('Working table'!$F15=$X$2,$Y$2,IF('Working table'!$F15=$X$3,$Y$3,IF('Working table'!$F15=$X$4,$Y$4,IF('Working table'!$F15=$X$5,$Y$5,$Y$6))))</f>
        <v>Xtm</v>
      </c>
      <c r="H31" s="1">
        <v>1798</v>
      </c>
      <c r="I31" s="4" t="s">
        <v>188</v>
      </c>
      <c r="J31" s="4" t="s">
        <v>317</v>
      </c>
      <c r="K31" s="1" t="str">
        <f>H31 &amp; " " &amp; J31</f>
        <v>1798 ±14</v>
      </c>
      <c r="L31" s="1" t="str">
        <f>H31&amp;" "&amp;J31&amp;" "&amp;"("&amp;G31&amp;")"</f>
        <v>1798 ±14 (Xtm)</v>
      </c>
      <c r="M31" s="5" t="s">
        <v>5</v>
      </c>
      <c r="N31" s="1" t="s">
        <v>149</v>
      </c>
      <c r="P31" s="5" t="s">
        <v>187</v>
      </c>
      <c r="Q31" s="1">
        <v>-103.75694444444444</v>
      </c>
      <c r="R31" s="1">
        <v>58.146666666666668</v>
      </c>
      <c r="S31" s="1">
        <v>573125</v>
      </c>
      <c r="T31" s="1">
        <v>6445480</v>
      </c>
      <c r="U31" s="2" t="s">
        <v>118</v>
      </c>
    </row>
    <row r="32" spans="1:22" x14ac:dyDescent="0.25">
      <c r="A32" s="1" t="s">
        <v>90</v>
      </c>
      <c r="B32" s="2" t="s">
        <v>69</v>
      </c>
      <c r="C32" s="2" t="s">
        <v>2</v>
      </c>
      <c r="D32" s="1" t="s">
        <v>3</v>
      </c>
      <c r="E32" s="1" t="s">
        <v>148</v>
      </c>
      <c r="F32" s="1" t="s">
        <v>4</v>
      </c>
      <c r="G32" s="1" t="str">
        <f>IF('Working table'!$F16=$X$2,$Y$2,IF('Working table'!$F16=$X$3,$Y$3,IF('Working table'!$F16=$X$4,$Y$4,IF('Working table'!$F16=$X$5,$Y$5,$Y$6))))</f>
        <v>Ttn</v>
      </c>
      <c r="H32" s="1">
        <v>1789</v>
      </c>
      <c r="I32" s="4">
        <v>2</v>
      </c>
      <c r="J32" s="4" t="s">
        <v>312</v>
      </c>
      <c r="K32" s="1" t="str">
        <f>H32 &amp; " " &amp; J32</f>
        <v>1789 ±2</v>
      </c>
      <c r="L32" s="1" t="str">
        <f>H32&amp;" "&amp;J32&amp;" "&amp;"("&amp;G32&amp;")"</f>
        <v>1789 ±2 (Ttn)</v>
      </c>
      <c r="M32" s="5" t="s">
        <v>5</v>
      </c>
      <c r="N32" s="1" t="s">
        <v>149</v>
      </c>
      <c r="P32" s="5" t="s">
        <v>187</v>
      </c>
      <c r="Q32" s="1">
        <v>-103.75694444444444</v>
      </c>
      <c r="R32" s="1">
        <v>58.146666666666668</v>
      </c>
      <c r="S32" s="1">
        <v>573125</v>
      </c>
      <c r="T32" s="1">
        <v>6445480</v>
      </c>
      <c r="U32" s="2" t="s">
        <v>118</v>
      </c>
      <c r="V32" s="2" t="s">
        <v>120</v>
      </c>
    </row>
    <row r="33" spans="1:25" x14ac:dyDescent="0.25">
      <c r="A33" s="1" t="s">
        <v>48</v>
      </c>
      <c r="B33" s="2" t="s">
        <v>1</v>
      </c>
      <c r="C33" s="2" t="s">
        <v>2</v>
      </c>
      <c r="D33" s="1" t="s">
        <v>3</v>
      </c>
      <c r="E33" s="1" t="s">
        <v>148</v>
      </c>
      <c r="F33" s="1" t="s">
        <v>4</v>
      </c>
      <c r="G33" s="1" t="str">
        <f>IF('Working table'!$F28=$X$2,$Y$2,IF('Working table'!$F28=$X$3,$Y$3,IF('Working table'!$F28=$X$4,$Y$4,IF('Working table'!$F28=$X$5,$Y$5,$Y$6))))</f>
        <v>Xtm</v>
      </c>
      <c r="H33" s="1">
        <v>1792</v>
      </c>
      <c r="I33" s="4">
        <v>4</v>
      </c>
      <c r="J33" s="4" t="s">
        <v>313</v>
      </c>
      <c r="K33" s="1" t="str">
        <f>H33 &amp; " " &amp; J33</f>
        <v>1792 ±4</v>
      </c>
      <c r="L33" s="1" t="str">
        <f>H33&amp;" "&amp;J33&amp;" "&amp;"("&amp;G33&amp;")"</f>
        <v>1792 ±4 (Xtm)</v>
      </c>
      <c r="M33" s="5" t="s">
        <v>5</v>
      </c>
      <c r="N33" s="1" t="s">
        <v>149</v>
      </c>
      <c r="P33" s="5" t="s">
        <v>98</v>
      </c>
      <c r="Q33" s="1">
        <v>-106.13</v>
      </c>
      <c r="R33" s="1">
        <v>56.955833333333338</v>
      </c>
      <c r="S33" s="1">
        <v>431247</v>
      </c>
      <c r="T33" s="1">
        <v>6313050</v>
      </c>
      <c r="U33" s="2" t="s">
        <v>122</v>
      </c>
    </row>
    <row r="34" spans="1:25" x14ac:dyDescent="0.25">
      <c r="A34" s="1" t="s">
        <v>90</v>
      </c>
      <c r="B34" s="2" t="s">
        <v>76</v>
      </c>
      <c r="C34" s="2" t="s">
        <v>77</v>
      </c>
      <c r="D34" s="1" t="s">
        <v>3</v>
      </c>
      <c r="E34" s="1" t="s">
        <v>148</v>
      </c>
      <c r="F34" s="1" t="s">
        <v>8</v>
      </c>
      <c r="G34" s="1" t="str">
        <f>IF('Working table'!$F22=$X$2,$Y$2,IF('Working table'!$F22=$X$3,$Y$3,IF('Working table'!$F22=$X$4,$Y$4,IF('Working table'!$F22=$X$5,$Y$5,$Y$6))))</f>
        <v>Xtm</v>
      </c>
      <c r="H34" s="1">
        <v>1719</v>
      </c>
      <c r="I34" s="4">
        <v>1</v>
      </c>
      <c r="J34" s="4" t="s">
        <v>311</v>
      </c>
      <c r="K34" s="1" t="str">
        <f>H34 &amp; " " &amp; J34</f>
        <v>1719 ±1</v>
      </c>
      <c r="L34" s="1" t="str">
        <f>H34&amp;" "&amp;J34&amp;" "&amp;"("&amp;G34&amp;")"</f>
        <v>1719 ±1 (Xtm)</v>
      </c>
      <c r="M34" s="5" t="s">
        <v>5</v>
      </c>
      <c r="N34" s="1" t="s">
        <v>149</v>
      </c>
      <c r="P34" s="5" t="s">
        <v>97</v>
      </c>
      <c r="Q34" s="1">
        <v>-103.58527777777778</v>
      </c>
      <c r="R34" s="1">
        <v>58.208333333333336</v>
      </c>
      <c r="S34" s="1">
        <v>583112</v>
      </c>
      <c r="T34" s="1">
        <v>6452798</v>
      </c>
      <c r="U34" s="2" t="s">
        <v>116</v>
      </c>
      <c r="Y34" s="22"/>
    </row>
    <row r="35" spans="1:25" s="8" customFormat="1" x14ac:dyDescent="0.25">
      <c r="A35" s="1" t="s">
        <v>90</v>
      </c>
      <c r="B35" s="2" t="s">
        <v>76</v>
      </c>
      <c r="C35" s="2" t="s">
        <v>77</v>
      </c>
      <c r="D35" s="1" t="s">
        <v>3</v>
      </c>
      <c r="E35" s="1" t="s">
        <v>148</v>
      </c>
      <c r="F35" s="1" t="s">
        <v>12</v>
      </c>
      <c r="G35" s="1" t="str">
        <f>IF('Working table'!$F23=$X$2,$Y$2,IF('Working table'!$F23=$X$3,$Y$3,IF('Working table'!$F23=$X$4,$Y$4,IF('Working table'!$F23=$X$5,$Y$5,$Y$6))))</f>
        <v>Xtm</v>
      </c>
      <c r="H35" s="1">
        <v>1782</v>
      </c>
      <c r="I35" s="4">
        <v>1</v>
      </c>
      <c r="J35" s="4" t="s">
        <v>311</v>
      </c>
      <c r="K35" s="1" t="str">
        <f>H35 &amp; " " &amp; J35</f>
        <v>1782 ±1</v>
      </c>
      <c r="L35" s="1" t="str">
        <f>H35&amp;" "&amp;J35&amp;" "&amp;"("&amp;G35&amp;")"</f>
        <v>1782 ±1 (Xtm)</v>
      </c>
      <c r="M35" s="5" t="s">
        <v>5</v>
      </c>
      <c r="N35" s="1" t="s">
        <v>149</v>
      </c>
      <c r="O35" s="1"/>
      <c r="P35" s="5" t="s">
        <v>97</v>
      </c>
      <c r="Q35" s="1">
        <v>-103.58527777777778</v>
      </c>
      <c r="R35" s="1">
        <v>58.208333333333336</v>
      </c>
      <c r="S35" s="1">
        <v>583112</v>
      </c>
      <c r="T35" s="1">
        <v>6452798</v>
      </c>
      <c r="U35" s="2" t="s">
        <v>116</v>
      </c>
      <c r="V35" s="2"/>
      <c r="W35" s="2"/>
      <c r="X35" s="18"/>
      <c r="Y35" s="22"/>
    </row>
    <row r="36" spans="1:25" s="8" customFormat="1" x14ac:dyDescent="0.25">
      <c r="A36" s="1" t="s">
        <v>48</v>
      </c>
      <c r="B36" s="2" t="s">
        <v>44</v>
      </c>
      <c r="C36" s="2" t="s">
        <v>45</v>
      </c>
      <c r="D36" s="1" t="s">
        <v>3</v>
      </c>
      <c r="E36" s="1" t="s">
        <v>148</v>
      </c>
      <c r="F36" s="1" t="s">
        <v>8</v>
      </c>
      <c r="G36" s="1" t="str">
        <f>IF('Working table'!$F71=$X$2,$Y$2,IF('Working table'!$F71=$X$3,$Y$3,IF('Working table'!$F71=$X$4,$Y$4,IF('Working table'!$F71=$X$5,$Y$5,$Y$6))))</f>
        <v>Xtm</v>
      </c>
      <c r="H36" s="1">
        <v>2786</v>
      </c>
      <c r="I36" s="4">
        <v>7</v>
      </c>
      <c r="J36" s="4" t="s">
        <v>328</v>
      </c>
      <c r="K36" s="1" t="str">
        <f>H36 &amp; " " &amp; J36</f>
        <v>2786 ±7</v>
      </c>
      <c r="L36" s="1" t="str">
        <f>H36&amp;" "&amp;J36&amp;" "&amp;"("&amp;G36&amp;")"</f>
        <v>2786 ±7 (Xtm)</v>
      </c>
      <c r="M36" s="5" t="s">
        <v>47</v>
      </c>
      <c r="N36" s="1" t="s">
        <v>104</v>
      </c>
      <c r="O36" s="1" t="s">
        <v>207</v>
      </c>
      <c r="P36" s="5" t="s">
        <v>114</v>
      </c>
      <c r="Q36" s="1">
        <v>-105.57694444444444</v>
      </c>
      <c r="R36" s="1">
        <v>57.220277777777781</v>
      </c>
      <c r="S36" s="1">
        <v>465124</v>
      </c>
      <c r="T36" s="1">
        <v>6342069</v>
      </c>
      <c r="U36" s="2" t="s">
        <v>124</v>
      </c>
      <c r="V36" s="2" t="s">
        <v>125</v>
      </c>
      <c r="W36" s="2"/>
      <c r="X36" s="18"/>
      <c r="Y36" s="1"/>
    </row>
    <row r="37" spans="1:25" x14ac:dyDescent="0.25">
      <c r="A37" s="1" t="s">
        <v>48</v>
      </c>
      <c r="B37" s="2" t="s">
        <v>44</v>
      </c>
      <c r="C37" s="2" t="s">
        <v>45</v>
      </c>
      <c r="D37" s="1" t="s">
        <v>3</v>
      </c>
      <c r="E37" s="1" t="s">
        <v>148</v>
      </c>
      <c r="F37" s="1" t="s">
        <v>8</v>
      </c>
      <c r="G37" s="1" t="str">
        <f>IF('Working table'!$F72=$X$2,$Y$2,IF('Working table'!$F72=$X$3,$Y$3,IF('Working table'!$F72=$X$4,$Y$4,IF('Working table'!$F72=$X$5,$Y$5,$Y$6))))</f>
        <v>Xtm</v>
      </c>
      <c r="H37" s="1">
        <v>1813</v>
      </c>
      <c r="I37" s="4">
        <v>6</v>
      </c>
      <c r="J37" s="4" t="s">
        <v>323</v>
      </c>
      <c r="K37" s="1" t="str">
        <f>H37 &amp; " " &amp; J37</f>
        <v>1813 ±6</v>
      </c>
      <c r="L37" s="1" t="str">
        <f>H37&amp;" "&amp;J37&amp;" "&amp;"("&amp;G37&amp;")"</f>
        <v>1813 ±6 (Xtm)</v>
      </c>
      <c r="M37" s="5" t="s">
        <v>5</v>
      </c>
      <c r="N37" s="1" t="s">
        <v>104</v>
      </c>
      <c r="O37" s="1" t="s">
        <v>205</v>
      </c>
      <c r="P37" s="5" t="s">
        <v>114</v>
      </c>
      <c r="Q37" s="1">
        <v>-105.57694444444444</v>
      </c>
      <c r="R37" s="1">
        <v>57.220277777777781</v>
      </c>
      <c r="S37" s="1">
        <v>465124</v>
      </c>
      <c r="T37" s="1">
        <v>6342069</v>
      </c>
      <c r="U37" s="2" t="s">
        <v>124</v>
      </c>
      <c r="V37" s="2" t="s">
        <v>125</v>
      </c>
    </row>
    <row r="38" spans="1:25" x14ac:dyDescent="0.25">
      <c r="A38" s="1" t="s">
        <v>48</v>
      </c>
      <c r="B38" s="2" t="s">
        <v>44</v>
      </c>
      <c r="C38" s="2" t="s">
        <v>45</v>
      </c>
      <c r="D38" s="1" t="s">
        <v>3</v>
      </c>
      <c r="E38" s="1" t="s">
        <v>148</v>
      </c>
      <c r="F38" s="1" t="s">
        <v>12</v>
      </c>
      <c r="G38" s="1" t="str">
        <f>IF('Working table'!$F73=$X$2,$Y$2,IF('Working table'!$F73=$X$3,$Y$3,IF('Working table'!$F73=$X$4,$Y$4,IF('Working table'!$F73=$X$5,$Y$5,$Y$6))))</f>
        <v>Xtm</v>
      </c>
      <c r="H38" s="1">
        <v>1814</v>
      </c>
      <c r="I38" s="4">
        <v>1</v>
      </c>
      <c r="J38" s="4" t="s">
        <v>311</v>
      </c>
      <c r="K38" s="1" t="str">
        <f>H38 &amp; " " &amp; J38</f>
        <v>1814 ±1</v>
      </c>
      <c r="L38" s="1" t="str">
        <f>H38&amp;" "&amp;J38&amp;" "&amp;"("&amp;G38&amp;")"</f>
        <v>1814 ±1 (Xtm)</v>
      </c>
      <c r="M38" s="5" t="s">
        <v>5</v>
      </c>
      <c r="N38" s="1" t="s">
        <v>104</v>
      </c>
      <c r="O38" s="1" t="s">
        <v>206</v>
      </c>
      <c r="P38" s="5" t="s">
        <v>114</v>
      </c>
      <c r="Q38" s="1">
        <v>-105.57694444444444</v>
      </c>
      <c r="R38" s="1">
        <v>57.220277777777781</v>
      </c>
      <c r="S38" s="1">
        <v>465124</v>
      </c>
      <c r="T38" s="1">
        <v>6342069</v>
      </c>
      <c r="U38" s="2" t="s">
        <v>124</v>
      </c>
      <c r="V38" s="2" t="s">
        <v>125</v>
      </c>
    </row>
    <row r="39" spans="1:25" x14ac:dyDescent="0.25">
      <c r="A39" s="1" t="s">
        <v>48</v>
      </c>
      <c r="B39" s="2" t="s">
        <v>34</v>
      </c>
      <c r="C39" s="2" t="s">
        <v>35</v>
      </c>
      <c r="D39" s="1" t="s">
        <v>3</v>
      </c>
      <c r="E39" s="1" t="s">
        <v>148</v>
      </c>
      <c r="F39" s="1" t="s">
        <v>8</v>
      </c>
      <c r="G39" s="1" t="str">
        <f>IF('Working table'!$F48=$X$2,$Y$2,IF('Working table'!$F48=$X$3,$Y$3,IF('Working table'!$F48=$X$4,$Y$4,IF('Working table'!$F48=$X$5,$Y$5,$Y$6))))</f>
        <v>Xtm</v>
      </c>
      <c r="H39" s="1">
        <v>1818</v>
      </c>
      <c r="I39" s="4">
        <v>1</v>
      </c>
      <c r="J39" s="4" t="s">
        <v>311</v>
      </c>
      <c r="K39" s="1" t="str">
        <f>H39 &amp; " " &amp; J39</f>
        <v>1818 ±1</v>
      </c>
      <c r="L39" s="1" t="str">
        <f>H39&amp;" "&amp;J39&amp;" "&amp;"("&amp;G39&amp;")"</f>
        <v>1818 ±1 (Xtm)</v>
      </c>
      <c r="M39" s="5" t="s">
        <v>47</v>
      </c>
      <c r="N39" s="1" t="s">
        <v>104</v>
      </c>
      <c r="O39" s="1" t="s">
        <v>196</v>
      </c>
      <c r="P39" s="5" t="s">
        <v>112</v>
      </c>
      <c r="Q39" s="1">
        <v>-104.85833333333333</v>
      </c>
      <c r="R39" s="1">
        <v>57.854444444444447</v>
      </c>
      <c r="S39" s="1">
        <v>508376</v>
      </c>
      <c r="T39" s="1">
        <v>6412529</v>
      </c>
      <c r="U39" s="2" t="s">
        <v>124</v>
      </c>
      <c r="V39" s="2" t="s">
        <v>126</v>
      </c>
    </row>
    <row r="40" spans="1:25" x14ac:dyDescent="0.25">
      <c r="A40" s="1" t="s">
        <v>48</v>
      </c>
      <c r="B40" s="2" t="s">
        <v>34</v>
      </c>
      <c r="C40" s="2" t="s">
        <v>35</v>
      </c>
      <c r="D40" s="1" t="s">
        <v>3</v>
      </c>
      <c r="E40" s="1" t="s">
        <v>148</v>
      </c>
      <c r="F40" s="1" t="s">
        <v>12</v>
      </c>
      <c r="G40" s="1" t="str">
        <f>IF('Working table'!$F49=$X$2,$Y$2,IF('Working table'!$F49=$X$3,$Y$3,IF('Working table'!$F49=$X$4,$Y$4,IF('Working table'!$F49=$X$5,$Y$5,$Y$6))))</f>
        <v>Xtm</v>
      </c>
      <c r="H40" s="1">
        <v>1801</v>
      </c>
      <c r="I40" s="4">
        <v>1</v>
      </c>
      <c r="J40" s="4" t="s">
        <v>311</v>
      </c>
      <c r="K40" s="1" t="str">
        <f>H40 &amp; " " &amp; J40</f>
        <v>1801 ±1</v>
      </c>
      <c r="L40" s="1" t="str">
        <f>H40&amp;" "&amp;J40&amp;" "&amp;"("&amp;G40&amp;")"</f>
        <v>1801 ±1 (Xtm)</v>
      </c>
      <c r="M40" s="5" t="s">
        <v>5</v>
      </c>
      <c r="N40" s="1" t="s">
        <v>104</v>
      </c>
      <c r="O40" s="1" t="s">
        <v>195</v>
      </c>
      <c r="P40" s="5" t="s">
        <v>112</v>
      </c>
      <c r="Q40" s="1">
        <v>-104.85833333333333</v>
      </c>
      <c r="R40" s="1">
        <v>57.854444444444447</v>
      </c>
      <c r="S40" s="1">
        <v>508376</v>
      </c>
      <c r="T40" s="1">
        <v>6412529</v>
      </c>
      <c r="U40" s="2" t="s">
        <v>124</v>
      </c>
      <c r="V40" s="2" t="s">
        <v>126</v>
      </c>
    </row>
    <row r="41" spans="1:25" x14ac:dyDescent="0.25">
      <c r="B41" t="s">
        <v>223</v>
      </c>
      <c r="C41" t="s">
        <v>134</v>
      </c>
      <c r="D41" s="1" t="s">
        <v>3</v>
      </c>
      <c r="E41" s="1" t="s">
        <v>135</v>
      </c>
      <c r="F41" s="1" t="s">
        <v>8</v>
      </c>
      <c r="G41" s="1" t="str">
        <f>IF('Working table'!$F66=$X$2,$Y$2,IF('Working table'!$F66=$X$3,$Y$3,IF('Working table'!$F66=$X$4,$Y$4,IF('Working table'!$F66=$X$5,$Y$5,$Y$6))))</f>
        <v>Xtm</v>
      </c>
      <c r="H41" s="7">
        <v>1819</v>
      </c>
      <c r="I41" s="4" t="s">
        <v>231</v>
      </c>
      <c r="J41" s="1" t="s">
        <v>316</v>
      </c>
      <c r="K41" s="1" t="str">
        <f>H41 &amp; " " &amp; J41</f>
        <v>1819 ±10</v>
      </c>
      <c r="L41" s="1" t="str">
        <f>H41&amp;" "&amp;J41&amp;" "&amp;"("&amp;G41&amp;")"</f>
        <v>1819 ±10 (Xtm)</v>
      </c>
      <c r="M41" s="5" t="s">
        <v>47</v>
      </c>
      <c r="N41" s="1" t="s">
        <v>104</v>
      </c>
      <c r="O41" s="1" t="s">
        <v>219</v>
      </c>
      <c r="P41" s="5" t="s">
        <v>133</v>
      </c>
      <c r="Q41" t="s">
        <v>278</v>
      </c>
      <c r="R41" t="s">
        <v>278</v>
      </c>
      <c r="S41"/>
      <c r="T41"/>
      <c r="U41" s="2" t="s">
        <v>137</v>
      </c>
    </row>
    <row r="42" spans="1:25" x14ac:dyDescent="0.25">
      <c r="B42" t="s">
        <v>223</v>
      </c>
      <c r="C42" t="s">
        <v>134</v>
      </c>
      <c r="D42" s="1" t="s">
        <v>3</v>
      </c>
      <c r="E42" s="1" t="s">
        <v>135</v>
      </c>
      <c r="F42" s="1" t="s">
        <v>12</v>
      </c>
      <c r="G42" s="1" t="str">
        <f>IF('Working table'!$F67=$X$2,$Y$2,IF('Working table'!$F67=$X$3,$Y$3,IF('Working table'!$F67=$X$4,$Y$4,IF('Working table'!$F67=$X$5,$Y$5,$Y$6))))</f>
        <v>Xtm</v>
      </c>
      <c r="H42" s="7">
        <v>1816</v>
      </c>
      <c r="I42" s="4">
        <v>1</v>
      </c>
      <c r="J42" s="4" t="s">
        <v>311</v>
      </c>
      <c r="K42" s="1" t="str">
        <f>H42 &amp; " " &amp; J42</f>
        <v>1816 ±1</v>
      </c>
      <c r="L42" s="1" t="str">
        <f>H42&amp;" "&amp;J42&amp;" "&amp;"("&amp;G42&amp;")"</f>
        <v>1816 ±1 (Xtm)</v>
      </c>
      <c r="M42" s="5" t="s">
        <v>47</v>
      </c>
      <c r="N42" s="1" t="s">
        <v>104</v>
      </c>
      <c r="O42" s="1" t="s">
        <v>219</v>
      </c>
      <c r="P42" s="5" t="s">
        <v>133</v>
      </c>
      <c r="Q42" t="s">
        <v>278</v>
      </c>
      <c r="R42" t="s">
        <v>278</v>
      </c>
      <c r="S42"/>
      <c r="T42"/>
      <c r="U42" s="2" t="s">
        <v>137</v>
      </c>
    </row>
    <row r="43" spans="1:25" x14ac:dyDescent="0.25">
      <c r="B43" t="s">
        <v>418</v>
      </c>
      <c r="C43" t="s">
        <v>134</v>
      </c>
      <c r="D43" s="1" t="s">
        <v>3</v>
      </c>
      <c r="E43" s="1" t="s">
        <v>135</v>
      </c>
      <c r="F43" s="1" t="s">
        <v>12</v>
      </c>
      <c r="G43" s="1" t="str">
        <f>IF('Working table'!$F100=$X$2,$Y$2,IF('Working table'!$F100=$X$3,$Y$3,IF('Working table'!$F100=$X$4,$Y$4,IF('Working table'!$F100=$X$5,$Y$5,$Y$6))))</f>
        <v>Xtm</v>
      </c>
      <c r="H43" s="7">
        <v>1816</v>
      </c>
      <c r="I43" s="4">
        <v>1</v>
      </c>
      <c r="J43" s="4" t="s">
        <v>311</v>
      </c>
      <c r="K43" s="1" t="str">
        <f>H43 &amp; " " &amp; J43</f>
        <v>1816 ±1</v>
      </c>
      <c r="L43" s="1" t="str">
        <f>H43&amp;" "&amp;J43&amp;" "&amp;"("&amp;G43&amp;")"</f>
        <v>1816 ±1 (Xtm)</v>
      </c>
      <c r="M43" s="5" t="s">
        <v>47</v>
      </c>
      <c r="N43" s="1" t="s">
        <v>104</v>
      </c>
      <c r="O43" s="1" t="s">
        <v>219</v>
      </c>
      <c r="P43" s="5" t="s">
        <v>133</v>
      </c>
      <c r="Q43" t="s">
        <v>278</v>
      </c>
      <c r="R43" t="s">
        <v>278</v>
      </c>
      <c r="S43"/>
      <c r="T43"/>
      <c r="U43" s="2" t="s">
        <v>137</v>
      </c>
      <c r="V43" s="1"/>
      <c r="W43" s="1"/>
      <c r="X43" s="1"/>
    </row>
    <row r="44" spans="1:25" x14ac:dyDescent="0.25">
      <c r="A44" s="1" t="s">
        <v>90</v>
      </c>
      <c r="B44" s="2" t="s">
        <v>78</v>
      </c>
      <c r="C44" s="2" t="s">
        <v>79</v>
      </c>
      <c r="D44" s="1" t="s">
        <v>3</v>
      </c>
      <c r="E44" s="1" t="s">
        <v>148</v>
      </c>
      <c r="F44" s="1" t="s">
        <v>8</v>
      </c>
      <c r="G44" s="1" t="str">
        <f>IF('Working table'!$F24=$X$2,$Y$2,IF('Working table'!$F24=$X$3,$Y$3,IF('Working table'!$F24=$X$4,$Y$4,IF('Working table'!$F24=$X$5,$Y$5,$Y$6))))</f>
        <v>Xtm</v>
      </c>
      <c r="H44" s="1">
        <v>1820</v>
      </c>
      <c r="I44" s="4">
        <v>5</v>
      </c>
      <c r="J44" s="4" t="s">
        <v>321</v>
      </c>
      <c r="K44" s="1" t="str">
        <f>H44 &amp; " " &amp; J44</f>
        <v>1820 ±5</v>
      </c>
      <c r="L44" s="1" t="str">
        <f>H44&amp;" "&amp;J44&amp;" "&amp;"("&amp;G44&amp;")"</f>
        <v>1820 ±5 (Xtm)</v>
      </c>
      <c r="M44" s="5" t="s">
        <v>47</v>
      </c>
      <c r="N44" s="1" t="s">
        <v>149</v>
      </c>
      <c r="P44" s="5" t="s">
        <v>97</v>
      </c>
      <c r="Q44" s="1">
        <v>-103.59722222222221</v>
      </c>
      <c r="R44" s="1">
        <v>58.205555555555556</v>
      </c>
      <c r="S44" s="1">
        <v>583144</v>
      </c>
      <c r="T44" s="1">
        <v>6452482</v>
      </c>
      <c r="U44" s="2" t="s">
        <v>118</v>
      </c>
      <c r="Y44" s="22"/>
    </row>
    <row r="45" spans="1:25" x14ac:dyDescent="0.25">
      <c r="A45" s="1" t="s">
        <v>90</v>
      </c>
      <c r="B45" s="2" t="s">
        <v>70</v>
      </c>
      <c r="C45" s="2" t="s">
        <v>71</v>
      </c>
      <c r="D45" s="1" t="s">
        <v>3</v>
      </c>
      <c r="E45" s="1" t="s">
        <v>148</v>
      </c>
      <c r="F45" s="1" t="s">
        <v>8</v>
      </c>
      <c r="G45" s="1" t="str">
        <f>IF('Working table'!$F12=$X$2,$Y$2,IF('Working table'!$F12=$X$3,$Y$3,IF('Working table'!$F12=$X$4,$Y$4,IF('Working table'!$F12=$X$5,$Y$5,$Y$6))))</f>
        <v>Xtm</v>
      </c>
      <c r="H45" s="1" t="s">
        <v>72</v>
      </c>
      <c r="I45" s="4" t="s">
        <v>15</v>
      </c>
      <c r="K45" s="1" t="str">
        <f>H45 &amp; " " &amp; J45</f>
        <v xml:space="preserve">2686-2863 </v>
      </c>
      <c r="L45" s="1" t="str">
        <f>H45&amp;" "&amp;J45&amp;" "&amp;"("&amp;G45&amp;")"</f>
        <v>2686-2863  (Xtm)</v>
      </c>
      <c r="M45" s="5" t="s">
        <v>13</v>
      </c>
      <c r="N45" s="1" t="s">
        <v>149</v>
      </c>
      <c r="P45" s="5" t="s">
        <v>97</v>
      </c>
      <c r="Q45" s="1">
        <v>-103.76</v>
      </c>
      <c r="R45" s="1">
        <v>58.144166666666663</v>
      </c>
      <c r="S45" s="1">
        <v>572965</v>
      </c>
      <c r="T45" s="1">
        <v>6445460</v>
      </c>
      <c r="U45" s="2" t="s">
        <v>118</v>
      </c>
      <c r="W45" s="2" t="s">
        <v>304</v>
      </c>
    </row>
    <row r="46" spans="1:25" x14ac:dyDescent="0.25">
      <c r="A46" s="1" t="s">
        <v>90</v>
      </c>
      <c r="B46" s="2" t="s">
        <v>70</v>
      </c>
      <c r="C46" s="2" t="s">
        <v>71</v>
      </c>
      <c r="D46" s="1" t="s">
        <v>3</v>
      </c>
      <c r="E46" s="1" t="s">
        <v>148</v>
      </c>
      <c r="F46" s="1" t="s">
        <v>12</v>
      </c>
      <c r="G46" s="1" t="str">
        <f>IF('Working table'!$F13=$X$2,$Y$2,IF('Working table'!$F13=$X$3,$Y$3,IF('Working table'!$F13=$X$4,$Y$4,IF('Working table'!$F13=$X$5,$Y$5,$Y$6))))</f>
        <v>Xtm</v>
      </c>
      <c r="H46" s="1">
        <v>1816</v>
      </c>
      <c r="I46" s="4">
        <v>2</v>
      </c>
      <c r="J46" s="4" t="s">
        <v>312</v>
      </c>
      <c r="K46" s="1" t="str">
        <f>H46 &amp; " " &amp; J46</f>
        <v>1816 ±2</v>
      </c>
      <c r="L46" s="1" t="str">
        <f>H46&amp;" "&amp;J46&amp;" "&amp;"("&amp;G46&amp;")"</f>
        <v>1816 ±2 (Xtm)</v>
      </c>
      <c r="M46" s="5" t="s">
        <v>5</v>
      </c>
      <c r="N46" s="1" t="s">
        <v>149</v>
      </c>
      <c r="P46" s="5" t="s">
        <v>97</v>
      </c>
      <c r="Q46" s="1">
        <v>-103.76</v>
      </c>
      <c r="R46" s="1">
        <v>58.144166666666663</v>
      </c>
      <c r="S46" s="1">
        <v>572965</v>
      </c>
      <c r="T46" s="1">
        <v>6445460</v>
      </c>
      <c r="U46" s="2" t="s">
        <v>118</v>
      </c>
    </row>
    <row r="47" spans="1:25" x14ac:dyDescent="0.25">
      <c r="A47" s="1" t="s">
        <v>48</v>
      </c>
      <c r="B47" s="2" t="s">
        <v>23</v>
      </c>
      <c r="C47" s="2" t="s">
        <v>24</v>
      </c>
      <c r="D47" s="1" t="s">
        <v>3</v>
      </c>
      <c r="E47" s="1" t="s">
        <v>148</v>
      </c>
      <c r="F47" s="1" t="s">
        <v>4</v>
      </c>
      <c r="G47" s="1" t="str">
        <f>IF('Working table'!$F34=$X$2,$Y$2,IF('Working table'!$F34=$X$3,$Y$3,IF('Working table'!$F34=$X$4,$Y$4,IF('Working table'!$F34=$X$5,$Y$5,$Y$6))))</f>
        <v>Xtm</v>
      </c>
      <c r="H47" s="1">
        <v>1803</v>
      </c>
      <c r="I47" s="4">
        <v>4</v>
      </c>
      <c r="J47" s="4" t="s">
        <v>313</v>
      </c>
      <c r="K47" s="1" t="str">
        <f>H47 &amp; " " &amp; J47</f>
        <v>1803 ±4</v>
      </c>
      <c r="L47" s="1" t="str">
        <f>H47&amp;" "&amp;J47&amp;" "&amp;"("&amp;G47&amp;")"</f>
        <v>1803 ±4 (Xtm)</v>
      </c>
      <c r="M47" s="5" t="s">
        <v>5</v>
      </c>
      <c r="N47" s="1" t="s">
        <v>149</v>
      </c>
      <c r="P47" s="5" t="s">
        <v>98</v>
      </c>
      <c r="Q47" s="1">
        <v>-106.15916666666668</v>
      </c>
      <c r="R47" s="1">
        <v>56.908055555555556</v>
      </c>
      <c r="S47" s="1">
        <v>429384</v>
      </c>
      <c r="T47" s="1">
        <v>6307750</v>
      </c>
      <c r="U47" s="2" t="s">
        <v>122</v>
      </c>
    </row>
    <row r="48" spans="1:25" x14ac:dyDescent="0.25">
      <c r="A48" s="1" t="s">
        <v>90</v>
      </c>
      <c r="B48" s="2" t="s">
        <v>80</v>
      </c>
      <c r="C48" s="2" t="s">
        <v>81</v>
      </c>
      <c r="D48" s="1" t="s">
        <v>3</v>
      </c>
      <c r="E48" s="1" t="s">
        <v>148</v>
      </c>
      <c r="F48" s="1" t="s">
        <v>8</v>
      </c>
      <c r="G48" s="1" t="str">
        <f>IF('Working table'!$F44=$X$2,$Y$2,IF('Working table'!$F44=$X$3,$Y$3,IF('Working table'!$F44=$X$4,$Y$4,IF('Working table'!$F44=$X$5,$Y$5,$Y$6))))</f>
        <v>Xtm</v>
      </c>
      <c r="H48" s="1">
        <v>1808</v>
      </c>
      <c r="I48" s="4">
        <v>4</v>
      </c>
      <c r="J48" s="4" t="s">
        <v>313</v>
      </c>
      <c r="K48" s="1" t="str">
        <f>H48 &amp; " " &amp; J48</f>
        <v>1808 ±4</v>
      </c>
      <c r="L48" s="1" t="str">
        <f>H48&amp;" "&amp;J48&amp;" "&amp;"("&amp;G48&amp;")"</f>
        <v>1808 ±4 (Xtm)</v>
      </c>
      <c r="M48" s="5" t="s">
        <v>5</v>
      </c>
      <c r="N48" s="1" t="s">
        <v>149</v>
      </c>
      <c r="P48" s="5" t="s">
        <v>103</v>
      </c>
      <c r="Q48" s="1">
        <v>-103.58527777777778</v>
      </c>
      <c r="R48" s="1">
        <v>58.147777777777776</v>
      </c>
      <c r="S48" s="1">
        <v>583268</v>
      </c>
      <c r="T48" s="1">
        <v>6446044</v>
      </c>
      <c r="U48" s="2" t="s">
        <v>122</v>
      </c>
      <c r="V48" s="2" t="s">
        <v>127</v>
      </c>
    </row>
    <row r="49" spans="1:25" x14ac:dyDescent="0.25">
      <c r="A49" s="1" t="s">
        <v>48</v>
      </c>
      <c r="B49" s="2" t="s">
        <v>39</v>
      </c>
      <c r="C49" s="2" t="s">
        <v>40</v>
      </c>
      <c r="D49" s="1" t="s">
        <v>3</v>
      </c>
      <c r="E49" s="1" t="s">
        <v>148</v>
      </c>
      <c r="F49" s="1" t="s">
        <v>12</v>
      </c>
      <c r="G49" s="1" t="str">
        <f>IF('Working table'!$F84=$X$2,$Y$2,IF('Working table'!$F84=$X$3,$Y$3,IF('Working table'!$F84=$X$4,$Y$4,IF('Working table'!$F84=$X$5,$Y$5,$Y$6))))</f>
        <v>Ttn</v>
      </c>
      <c r="H49" s="1">
        <v>1800</v>
      </c>
      <c r="I49" s="4">
        <v>2</v>
      </c>
      <c r="J49" s="4" t="s">
        <v>312</v>
      </c>
      <c r="K49" s="1" t="str">
        <f>H49 &amp; " " &amp; J49</f>
        <v>1800 ±2</v>
      </c>
      <c r="L49" s="1" t="str">
        <f>H49&amp;" "&amp;J49&amp;" "&amp;"("&amp;G49&amp;")"</f>
        <v>1800 ±2 (Ttn)</v>
      </c>
      <c r="M49" s="5" t="s">
        <v>5</v>
      </c>
      <c r="N49" s="1" t="s">
        <v>104</v>
      </c>
      <c r="O49" s="1" t="s">
        <v>212</v>
      </c>
      <c r="P49" s="5" t="s">
        <v>115</v>
      </c>
      <c r="Q49" s="1">
        <v>-105.46944444444445</v>
      </c>
      <c r="R49" s="1">
        <v>57.480277777777779</v>
      </c>
      <c r="S49" s="1">
        <v>471825</v>
      </c>
      <c r="T49" s="1">
        <v>6370970</v>
      </c>
      <c r="U49" s="2" t="s">
        <v>124</v>
      </c>
    </row>
    <row r="50" spans="1:25" x14ac:dyDescent="0.25">
      <c r="A50" s="1" t="s">
        <v>48</v>
      </c>
      <c r="B50" s="2" t="s">
        <v>39</v>
      </c>
      <c r="C50" s="2" t="s">
        <v>40</v>
      </c>
      <c r="D50" s="1" t="s">
        <v>3</v>
      </c>
      <c r="E50" s="1" t="s">
        <v>148</v>
      </c>
      <c r="F50" s="1" t="s">
        <v>12</v>
      </c>
      <c r="G50" s="1" t="str">
        <f>IF('Working table'!$F85=$X$2,$Y$2,IF('Working table'!$F85=$X$3,$Y$3,IF('Working table'!$F85=$X$4,$Y$4,IF('Working table'!$F85=$X$5,$Y$5,$Y$6))))</f>
        <v>Xtm</v>
      </c>
      <c r="H50" s="1">
        <v>1806</v>
      </c>
      <c r="I50" s="4">
        <v>2</v>
      </c>
      <c r="J50" s="4" t="s">
        <v>312</v>
      </c>
      <c r="K50" s="1" t="str">
        <f>H50 &amp; " " &amp; J50</f>
        <v>1806 ±2</v>
      </c>
      <c r="L50" s="1" t="str">
        <f>H50&amp;" "&amp;J50&amp;" "&amp;"("&amp;G50&amp;")"</f>
        <v>1806 ±2 (Xtm)</v>
      </c>
      <c r="M50" s="5" t="s">
        <v>5</v>
      </c>
      <c r="N50" s="1" t="s">
        <v>104</v>
      </c>
      <c r="O50" s="1" t="s">
        <v>213</v>
      </c>
      <c r="P50" s="5" t="s">
        <v>115</v>
      </c>
      <c r="Q50" s="1">
        <v>-105.46944444444445</v>
      </c>
      <c r="R50" s="1">
        <v>57.480277777777779</v>
      </c>
      <c r="S50" s="1">
        <v>471825</v>
      </c>
      <c r="T50" s="1">
        <v>6370970</v>
      </c>
      <c r="U50" s="2" t="s">
        <v>124</v>
      </c>
    </row>
    <row r="51" spans="1:25" x14ac:dyDescent="0.25">
      <c r="A51" s="1" t="s">
        <v>48</v>
      </c>
      <c r="B51" s="2" t="s">
        <v>39</v>
      </c>
      <c r="C51" s="2" t="s">
        <v>40</v>
      </c>
      <c r="D51" s="1" t="s">
        <v>3</v>
      </c>
      <c r="E51" s="1" t="s">
        <v>148</v>
      </c>
      <c r="F51" s="1" t="s">
        <v>12</v>
      </c>
      <c r="G51" s="1" t="str">
        <f>IF('Working table'!$F86=$X$2,$Y$2,IF('Working table'!$F86=$X$3,$Y$3,IF('Working table'!$F86=$X$4,$Y$4,IF('Working table'!$F86=$X$5,$Y$5,$Y$6))))</f>
        <v>Xtm</v>
      </c>
      <c r="H51" s="1">
        <v>1807</v>
      </c>
      <c r="I51" s="4">
        <v>2</v>
      </c>
      <c r="J51" s="4" t="s">
        <v>312</v>
      </c>
      <c r="K51" s="1" t="str">
        <f>H51 &amp; " " &amp; J51</f>
        <v>1807 ±2</v>
      </c>
      <c r="L51" s="1" t="str">
        <f>H51&amp;" "&amp;J51&amp;" "&amp;"("&amp;G51&amp;")"</f>
        <v>1807 ±2 (Xtm)</v>
      </c>
      <c r="M51" s="5" t="s">
        <v>5</v>
      </c>
      <c r="N51" s="1" t="s">
        <v>104</v>
      </c>
      <c r="O51" s="1" t="s">
        <v>214</v>
      </c>
      <c r="P51" s="5" t="s">
        <v>115</v>
      </c>
      <c r="Q51" s="1">
        <v>-105.46944444444445</v>
      </c>
      <c r="R51" s="1">
        <v>57.480277777777779</v>
      </c>
      <c r="S51" s="1">
        <v>471825</v>
      </c>
      <c r="T51" s="1">
        <v>6370970</v>
      </c>
      <c r="U51" s="2" t="s">
        <v>124</v>
      </c>
    </row>
    <row r="52" spans="1:25" x14ac:dyDescent="0.25">
      <c r="A52" s="1" t="s">
        <v>90</v>
      </c>
      <c r="B52" s="2" t="s">
        <v>49</v>
      </c>
      <c r="C52" s="2" t="s">
        <v>50</v>
      </c>
      <c r="D52" s="1" t="s">
        <v>3</v>
      </c>
      <c r="E52" s="1" t="s">
        <v>148</v>
      </c>
      <c r="F52" s="1" t="s">
        <v>8</v>
      </c>
      <c r="G52" s="1" t="str">
        <f>IF('Working table'!$F77=$X$2,$Y$2,IF('Working table'!$F77=$X$3,$Y$3,IF('Working table'!$F77=$X$4,$Y$4,IF('Working table'!$F77=$X$5,$Y$5,$Y$6))))</f>
        <v>Xtm</v>
      </c>
      <c r="H52" s="1">
        <v>1814</v>
      </c>
      <c r="I52" s="4" t="s">
        <v>177</v>
      </c>
      <c r="J52" s="1" t="s">
        <v>321</v>
      </c>
      <c r="K52" s="1" t="str">
        <f>H52 &amp; " " &amp; J52</f>
        <v>1814 ±5</v>
      </c>
      <c r="L52" s="1" t="str">
        <f>H52&amp;" "&amp;J52&amp;" "&amp;"("&amp;G52&amp;")"</f>
        <v>1814 ±5 (Xtm)</v>
      </c>
      <c r="M52" s="5" t="s">
        <v>5</v>
      </c>
      <c r="N52" s="1" t="s">
        <v>104</v>
      </c>
      <c r="P52" s="5" t="s">
        <v>108</v>
      </c>
      <c r="Q52" s="1">
        <v>-103.91972222222223</v>
      </c>
      <c r="R52" s="1" t="s">
        <v>278</v>
      </c>
      <c r="S52" s="1">
        <v>563210</v>
      </c>
      <c r="T52" s="1">
        <v>6468721</v>
      </c>
      <c r="U52" s="2" t="s">
        <v>122</v>
      </c>
    </row>
    <row r="53" spans="1:25" x14ac:dyDescent="0.25">
      <c r="A53" s="1" t="s">
        <v>48</v>
      </c>
      <c r="B53" s="2" t="s">
        <v>6</v>
      </c>
      <c r="C53" s="2" t="s">
        <v>7</v>
      </c>
      <c r="D53" s="1" t="s">
        <v>3</v>
      </c>
      <c r="E53" s="1" t="s">
        <v>148</v>
      </c>
      <c r="F53" s="1" t="s">
        <v>4</v>
      </c>
      <c r="G53" s="1" t="str">
        <f>IF('Working table'!$F6=$X$2,$Y$2,IF('Working table'!$F6=$X$3,$Y$3,IF('Working table'!$F6=$X$4,$Y$4,IF('Working table'!$F6=$X$5,$Y$5,$Y$6))))</f>
        <v>Ttn</v>
      </c>
      <c r="H53" s="1">
        <v>1828</v>
      </c>
      <c r="I53" s="4">
        <v>3</v>
      </c>
      <c r="J53" s="4" t="s">
        <v>314</v>
      </c>
      <c r="K53" s="1" t="str">
        <f>H53 &amp; " " &amp; J53</f>
        <v>1828 ±3</v>
      </c>
      <c r="L53" s="1" t="str">
        <f>H53&amp;" "&amp;J53&amp;" "&amp;"("&amp;G53&amp;")"</f>
        <v>1828 ±3 (Ttn)</v>
      </c>
      <c r="M53" s="5" t="s">
        <v>47</v>
      </c>
      <c r="N53" s="1" t="s">
        <v>149</v>
      </c>
      <c r="P53" s="5" t="s">
        <v>98</v>
      </c>
      <c r="Q53" s="1">
        <v>-106.11472222222221</v>
      </c>
      <c r="R53" s="1">
        <v>56.922222222222217</v>
      </c>
      <c r="S53" s="1">
        <v>432113</v>
      </c>
      <c r="T53" s="1">
        <v>6309305</v>
      </c>
      <c r="U53" s="2" t="s">
        <v>122</v>
      </c>
      <c r="V53" s="2" t="s">
        <v>119</v>
      </c>
      <c r="X53" s="18" t="s">
        <v>241</v>
      </c>
      <c r="Y53" s="22" t="s">
        <v>297</v>
      </c>
    </row>
    <row r="54" spans="1:25" x14ac:dyDescent="0.25">
      <c r="A54" s="1" t="s">
        <v>48</v>
      </c>
      <c r="B54" s="2" t="s">
        <v>6</v>
      </c>
      <c r="C54" s="2" t="s">
        <v>7</v>
      </c>
      <c r="D54" s="1" t="s">
        <v>3</v>
      </c>
      <c r="E54" s="1" t="s">
        <v>148</v>
      </c>
      <c r="F54" s="1" t="s">
        <v>8</v>
      </c>
      <c r="G54" s="1" t="str">
        <f>IF('Working table'!$F7=$X$2,$Y$2,IF('Working table'!$F7=$X$3,$Y$3,IF('Working table'!$F7=$X$4,$Y$4,IF('Working table'!$F7=$X$5,$Y$5,$Y$6))))</f>
        <v>Xtm</v>
      </c>
      <c r="H54" s="1">
        <v>1829</v>
      </c>
      <c r="I54" s="4">
        <v>1</v>
      </c>
      <c r="J54" s="4" t="s">
        <v>311</v>
      </c>
      <c r="K54" s="1" t="str">
        <f>H54 &amp; " " &amp; J54</f>
        <v>1829 ±1</v>
      </c>
      <c r="L54" s="1" t="str">
        <f>H54&amp;" "&amp;J54&amp;" "&amp;"("&amp;G54&amp;")"</f>
        <v>1829 ±1 (Xtm)</v>
      </c>
      <c r="M54" s="5" t="s">
        <v>47</v>
      </c>
      <c r="N54" s="1" t="s">
        <v>149</v>
      </c>
      <c r="P54" s="5" t="s">
        <v>98</v>
      </c>
      <c r="Q54" s="1">
        <v>-106.11472222222221</v>
      </c>
      <c r="R54" s="1">
        <v>56.922222222222217</v>
      </c>
      <c r="S54" s="1">
        <v>432113</v>
      </c>
      <c r="T54" s="1">
        <v>6309305</v>
      </c>
      <c r="U54" s="2" t="s">
        <v>122</v>
      </c>
      <c r="V54" s="2" t="s">
        <v>119</v>
      </c>
    </row>
    <row r="55" spans="1:25" x14ac:dyDescent="0.25">
      <c r="A55" s="1" t="s">
        <v>90</v>
      </c>
      <c r="B55" s="2" t="s">
        <v>86</v>
      </c>
      <c r="C55" s="2" t="s">
        <v>7</v>
      </c>
      <c r="D55" s="1" t="s">
        <v>3</v>
      </c>
      <c r="E55" s="1" t="s">
        <v>148</v>
      </c>
      <c r="F55" s="1" t="s">
        <v>8</v>
      </c>
      <c r="G55" s="1" t="str">
        <f>IF('Working table'!$F38=$X$2,$Y$2,IF('Working table'!$F38=$X$3,$Y$3,IF('Working table'!$F38=$X$4,$Y$4,IF('Working table'!$F38=$X$5,$Y$5,$Y$6))))</f>
        <v>Xtm</v>
      </c>
      <c r="H55" s="1">
        <v>1828</v>
      </c>
      <c r="I55" s="4">
        <v>3</v>
      </c>
      <c r="J55" s="4" t="s">
        <v>314</v>
      </c>
      <c r="K55" s="1" t="str">
        <f>H55 &amp; " " &amp; J55</f>
        <v>1828 ±3</v>
      </c>
      <c r="L55" s="1" t="str">
        <f>H55&amp;" "&amp;J55&amp;" "&amp;"("&amp;G55&amp;")"</f>
        <v>1828 ±3 (Xtm)</v>
      </c>
      <c r="M55" s="5" t="s">
        <v>47</v>
      </c>
      <c r="N55" s="1" t="s">
        <v>149</v>
      </c>
      <c r="P55" s="5" t="s">
        <v>100</v>
      </c>
      <c r="Q55" s="1">
        <v>-103.32972222222222</v>
      </c>
      <c r="R55" s="1">
        <v>58.273611111111109</v>
      </c>
      <c r="S55" s="1">
        <v>597963</v>
      </c>
      <c r="T55" s="1">
        <v>6460386</v>
      </c>
      <c r="U55" s="2" t="s">
        <v>122</v>
      </c>
      <c r="V55" s="2" t="s">
        <v>130</v>
      </c>
    </row>
    <row r="56" spans="1:25" x14ac:dyDescent="0.25">
      <c r="A56" s="1" t="s">
        <v>90</v>
      </c>
      <c r="B56" s="2" t="s">
        <v>86</v>
      </c>
      <c r="C56" s="2" t="s">
        <v>7</v>
      </c>
      <c r="D56" s="1" t="s">
        <v>3</v>
      </c>
      <c r="E56" s="1" t="s">
        <v>148</v>
      </c>
      <c r="F56" s="1" t="s">
        <v>4</v>
      </c>
      <c r="G56" s="1" t="str">
        <f>IF('Working table'!$F39=$X$2,$Y$2,IF('Working table'!$F39=$X$3,$Y$3,IF('Working table'!$F39=$X$4,$Y$4,IF('Working table'!$F39=$X$5,$Y$5,$Y$6))))</f>
        <v>Xtm</v>
      </c>
      <c r="H56" s="1">
        <v>1795</v>
      </c>
      <c r="I56" s="4" t="s">
        <v>307</v>
      </c>
      <c r="J56" s="1" t="s">
        <v>314</v>
      </c>
      <c r="K56" s="1" t="str">
        <f>H56 &amp; " " &amp; J56</f>
        <v>1795 ±3</v>
      </c>
      <c r="L56" s="1" t="str">
        <f>H56&amp;" "&amp;J56&amp;" "&amp;"("&amp;G56&amp;")"</f>
        <v>1795 ±3 (Xtm)</v>
      </c>
      <c r="M56" s="5" t="s">
        <v>5</v>
      </c>
      <c r="N56" s="1" t="s">
        <v>149</v>
      </c>
      <c r="P56" s="5" t="s">
        <v>100</v>
      </c>
      <c r="Q56" s="1">
        <v>-103.32972222222222</v>
      </c>
      <c r="R56" s="1">
        <v>58.273611111111109</v>
      </c>
      <c r="S56" s="1">
        <v>597963</v>
      </c>
      <c r="T56" s="1">
        <v>6460386</v>
      </c>
      <c r="U56" s="2" t="s">
        <v>122</v>
      </c>
      <c r="V56" s="2" t="s">
        <v>130</v>
      </c>
    </row>
    <row r="57" spans="1:25" x14ac:dyDescent="0.25">
      <c r="A57" s="1" t="s">
        <v>48</v>
      </c>
      <c r="B57" s="2" t="s">
        <v>25</v>
      </c>
      <c r="C57" s="2" t="s">
        <v>26</v>
      </c>
      <c r="D57" s="1" t="s">
        <v>3</v>
      </c>
      <c r="E57" s="1" t="s">
        <v>148</v>
      </c>
      <c r="F57" s="1" t="s">
        <v>8</v>
      </c>
      <c r="G57" s="1" t="str">
        <f>IF('Working table'!$F8=$X$2,$Y$2,IF('Working table'!$F8=$X$3,$Y$3,IF('Working table'!$F8=$X$4,$Y$4,IF('Working table'!$F8=$X$5,$Y$5,$Y$6))))</f>
        <v>Xtm</v>
      </c>
      <c r="H57" s="1">
        <v>2733</v>
      </c>
      <c r="I57" s="4" t="s">
        <v>190</v>
      </c>
      <c r="J57" s="1" t="s">
        <v>315</v>
      </c>
      <c r="K57" s="1" t="str">
        <f>H57 &amp; " " &amp; J57</f>
        <v>2733 ±9</v>
      </c>
      <c r="L57" s="1" t="str">
        <f>H57&amp;" "&amp;J57&amp;" "&amp;"("&amp;G57&amp;")"</f>
        <v>2733 ±9 (Xtm)</v>
      </c>
      <c r="M57" s="5" t="s">
        <v>47</v>
      </c>
      <c r="N57" s="1" t="s">
        <v>149</v>
      </c>
      <c r="P57" s="5" t="s">
        <v>98</v>
      </c>
      <c r="Q57" s="1">
        <v>57.005833333333335</v>
      </c>
      <c r="R57" s="1">
        <v>57.005833333333335</v>
      </c>
      <c r="S57" s="1">
        <v>435888</v>
      </c>
      <c r="T57" s="1">
        <v>6318556</v>
      </c>
      <c r="U57" s="2" t="s">
        <v>118</v>
      </c>
    </row>
    <row r="58" spans="1:25" x14ac:dyDescent="0.25">
      <c r="A58" s="1" t="s">
        <v>90</v>
      </c>
      <c r="B58" s="2" t="s">
        <v>303</v>
      </c>
      <c r="C58" s="2" t="s">
        <v>28</v>
      </c>
      <c r="D58" s="1" t="s">
        <v>3</v>
      </c>
      <c r="E58" s="1" t="s">
        <v>148</v>
      </c>
      <c r="F58" s="1" t="s">
        <v>12</v>
      </c>
      <c r="G58" s="1" t="str">
        <f>IF('Working table'!$F2=$X$2,$Y$2,IF('Working table'!$F2=$X$3,$Y$3,IF('Working table'!$F2=$X$4,$Y$4,IF('Working table'!$F2=$X$5,$Y$5,$Y$6))))</f>
        <v>Xtm</v>
      </c>
      <c r="H58" s="1">
        <v>1766</v>
      </c>
      <c r="I58" s="4">
        <v>1</v>
      </c>
      <c r="J58" s="4" t="s">
        <v>311</v>
      </c>
      <c r="K58" s="1" t="str">
        <f>H58 &amp; " " &amp; J58</f>
        <v>1766 ±1</v>
      </c>
      <c r="L58" s="1" t="str">
        <f>H58&amp;" "&amp;J58&amp;" "&amp;"("&amp;G58&amp;")"</f>
        <v>1766 ±1 (Xtm)</v>
      </c>
      <c r="M58" s="5" t="s">
        <v>5</v>
      </c>
      <c r="N58" s="1" t="s">
        <v>104</v>
      </c>
      <c r="P58" s="5" t="s">
        <v>105</v>
      </c>
      <c r="Q58" s="1">
        <v>58.30361111111111</v>
      </c>
      <c r="R58" s="1">
        <v>58.30361111111111</v>
      </c>
      <c r="S58" s="1">
        <v>560734</v>
      </c>
      <c r="T58" s="1">
        <v>6462976</v>
      </c>
      <c r="U58" s="2" t="s">
        <v>122</v>
      </c>
      <c r="X58" s="18" t="s">
        <v>8</v>
      </c>
      <c r="Y58" s="22" t="s">
        <v>299</v>
      </c>
    </row>
    <row r="59" spans="1:25" x14ac:dyDescent="0.25">
      <c r="A59" s="1" t="s">
        <v>90</v>
      </c>
      <c r="B59" s="2" t="s">
        <v>303</v>
      </c>
      <c r="C59" s="2" t="s">
        <v>28</v>
      </c>
      <c r="D59" s="1" t="s">
        <v>3</v>
      </c>
      <c r="E59" s="1" t="s">
        <v>148</v>
      </c>
      <c r="F59" s="1" t="s">
        <v>123</v>
      </c>
      <c r="G59" s="1" t="str">
        <f>IF('Working table'!$F3=$X$2,$Y$2,IF('Working table'!$F3=$X$3,$Y$3,IF('Working table'!$F3=$X$4,$Y$4,IF('Working table'!$F3=$X$5,$Y$5,$Y$6))))</f>
        <v>Xtm</v>
      </c>
      <c r="H59" s="1">
        <v>1767</v>
      </c>
      <c r="I59" s="4">
        <v>2</v>
      </c>
      <c r="J59" s="4" t="s">
        <v>312</v>
      </c>
      <c r="K59" s="1" t="str">
        <f>H59 &amp; " " &amp; J59</f>
        <v>1767 ±2</v>
      </c>
      <c r="L59" s="1" t="str">
        <f>H59&amp;" "&amp;J59&amp;" "&amp;"("&amp;G59&amp;")"</f>
        <v>1767 ±2 (Xtm)</v>
      </c>
      <c r="M59" s="5" t="s">
        <v>5</v>
      </c>
      <c r="N59" s="1" t="s">
        <v>104</v>
      </c>
      <c r="P59" s="5" t="s">
        <v>105</v>
      </c>
      <c r="Q59" s="1">
        <v>58.30361111111111</v>
      </c>
      <c r="R59" s="1">
        <v>58.30361111111111</v>
      </c>
      <c r="S59" s="1">
        <v>560734</v>
      </c>
      <c r="T59" s="1">
        <v>6462976</v>
      </c>
      <c r="U59" s="2" t="s">
        <v>122</v>
      </c>
      <c r="W59" s="23"/>
      <c r="X59" s="18" t="s">
        <v>12</v>
      </c>
      <c r="Y59" s="22" t="s">
        <v>295</v>
      </c>
    </row>
    <row r="60" spans="1:25" x14ac:dyDescent="0.25">
      <c r="A60" s="8" t="s">
        <v>48</v>
      </c>
      <c r="B60" s="11" t="s">
        <v>27</v>
      </c>
      <c r="C60" s="11" t="s">
        <v>28</v>
      </c>
      <c r="D60" s="8" t="s">
        <v>3</v>
      </c>
      <c r="E60" s="8" t="s">
        <v>148</v>
      </c>
      <c r="F60" s="1" t="s">
        <v>4</v>
      </c>
      <c r="G60" s="8" t="str">
        <f>IF('Working table'!$F35=$X$2,$Y$2,IF('Working table'!$F35=$X$3,$Y$3,IF('Working table'!$F35=$X$4,$Y$4,IF('Working table'!$F35=$X$5,$Y$5,$Y$6))))</f>
        <v>Xtm</v>
      </c>
      <c r="H60" s="8">
        <v>1788</v>
      </c>
      <c r="I60" s="12">
        <v>4</v>
      </c>
      <c r="J60" s="4" t="s">
        <v>313</v>
      </c>
      <c r="K60" s="1" t="str">
        <f>H60 &amp; " " &amp; J60</f>
        <v>1788 ±4</v>
      </c>
      <c r="L60" s="1" t="str">
        <f>H60&amp;" "&amp;J60&amp;" "&amp;"("&amp;G60&amp;")"</f>
        <v>1788 ±4 (Xtm)</v>
      </c>
      <c r="M60" s="13" t="s">
        <v>5</v>
      </c>
      <c r="N60" s="1" t="s">
        <v>149</v>
      </c>
      <c r="O60" s="8"/>
      <c r="P60" s="13" t="s">
        <v>98</v>
      </c>
      <c r="Q60" s="8">
        <v>57.019722222222221</v>
      </c>
      <c r="R60" s="8">
        <v>57.019722222222221</v>
      </c>
      <c r="S60" s="8">
        <v>437354</v>
      </c>
      <c r="T60" s="8">
        <v>6320071</v>
      </c>
      <c r="U60" s="11" t="s">
        <v>122</v>
      </c>
      <c r="V60" s="11"/>
      <c r="W60" s="11"/>
      <c r="X60" s="21"/>
      <c r="Y60" s="8"/>
    </row>
    <row r="61" spans="1:25" x14ac:dyDescent="0.25">
      <c r="A61" s="8" t="s">
        <v>48</v>
      </c>
      <c r="B61" s="11" t="s">
        <v>27</v>
      </c>
      <c r="C61" s="11" t="s">
        <v>28</v>
      </c>
      <c r="D61" s="8" t="s">
        <v>3</v>
      </c>
      <c r="E61" s="8" t="s">
        <v>148</v>
      </c>
      <c r="F61" s="1" t="s">
        <v>4</v>
      </c>
      <c r="G61" s="8" t="str">
        <f>IF('Working table'!$F36=$X$2,$Y$2,IF('Working table'!$F36=$X$3,$Y$3,IF('Working table'!$F36=$X$4,$Y$4,IF('Working table'!$F36=$X$5,$Y$5,$Y$6))))</f>
        <v>Xtm</v>
      </c>
      <c r="H61" s="8">
        <v>1792</v>
      </c>
      <c r="I61" s="12">
        <v>4</v>
      </c>
      <c r="J61" s="4" t="s">
        <v>313</v>
      </c>
      <c r="K61" s="1" t="str">
        <f>H61 &amp; " " &amp; J61</f>
        <v>1792 ±4</v>
      </c>
      <c r="L61" s="1" t="str">
        <f>H61&amp;" "&amp;J61&amp;" "&amp;"("&amp;G61&amp;")"</f>
        <v>1792 ±4 (Xtm)</v>
      </c>
      <c r="M61" s="13" t="s">
        <v>5</v>
      </c>
      <c r="N61" s="1" t="s">
        <v>149</v>
      </c>
      <c r="O61" s="8"/>
      <c r="P61" s="13" t="s">
        <v>98</v>
      </c>
      <c r="Q61" s="8">
        <v>57.019722222222221</v>
      </c>
      <c r="R61" s="8">
        <v>57.019722222222221</v>
      </c>
      <c r="S61" s="8">
        <v>437354</v>
      </c>
      <c r="T61" s="8">
        <v>6320071</v>
      </c>
      <c r="U61" s="11" t="s">
        <v>122</v>
      </c>
      <c r="V61" s="11"/>
      <c r="W61" s="11"/>
      <c r="X61" s="21"/>
      <c r="Y61" s="8"/>
    </row>
    <row r="62" spans="1:25" x14ac:dyDescent="0.25">
      <c r="A62" s="1" t="s">
        <v>90</v>
      </c>
      <c r="B62" s="2" t="s">
        <v>64</v>
      </c>
      <c r="C62" s="2" t="s">
        <v>28</v>
      </c>
      <c r="D62" s="1" t="s">
        <v>3</v>
      </c>
      <c r="E62" s="1" t="s">
        <v>148</v>
      </c>
      <c r="F62" s="1" t="s">
        <v>8</v>
      </c>
      <c r="G62" s="1" t="str">
        <f>IF('Working table'!$F43=$X$2,$Y$2,IF('Working table'!$F43=$X$3,$Y$3,IF('Working table'!$F43=$X$4,$Y$4,IF('Working table'!$F43=$X$5,$Y$5,$Y$6))))</f>
        <v>Xtm</v>
      </c>
      <c r="H62" s="1">
        <v>1819</v>
      </c>
      <c r="I62" s="4">
        <v>6</v>
      </c>
      <c r="J62" s="4" t="s">
        <v>323</v>
      </c>
      <c r="K62" s="1" t="str">
        <f>H62 &amp; " " &amp; J62</f>
        <v>1819 ±6</v>
      </c>
      <c r="L62" s="1" t="str">
        <f>H62&amp;" "&amp;J62&amp;" "&amp;"("&amp;G62&amp;")"</f>
        <v>1819 ±6 (Xtm)</v>
      </c>
      <c r="M62" s="5" t="s">
        <v>47</v>
      </c>
      <c r="N62" s="1" t="s">
        <v>149</v>
      </c>
      <c r="P62" s="5" t="s">
        <v>99</v>
      </c>
      <c r="Q62" s="1">
        <v>58.412777777777777</v>
      </c>
      <c r="R62" s="1">
        <v>58.412777777777777</v>
      </c>
      <c r="S62" s="1">
        <v>597570</v>
      </c>
      <c r="T62" s="1">
        <v>6475893</v>
      </c>
      <c r="U62" s="2" t="s">
        <v>122</v>
      </c>
      <c r="V62" s="2" t="s">
        <v>127</v>
      </c>
    </row>
    <row r="63" spans="1:25" x14ac:dyDescent="0.25">
      <c r="A63" s="1" t="s">
        <v>48</v>
      </c>
      <c r="B63" s="2" t="s">
        <v>36</v>
      </c>
      <c r="C63" s="2" t="s">
        <v>28</v>
      </c>
      <c r="D63" s="1" t="s">
        <v>3</v>
      </c>
      <c r="E63" s="1" t="s">
        <v>148</v>
      </c>
      <c r="F63" s="1" t="s">
        <v>8</v>
      </c>
      <c r="G63" s="1" t="str">
        <f>IF('Working table'!$F50=$X$2,$Y$2,IF('Working table'!$F50=$X$3,$Y$3,IF('Working table'!$F50=$X$4,$Y$4,IF('Working table'!$F50=$X$5,$Y$5,$Y$6))))</f>
        <v>Xtm</v>
      </c>
      <c r="H63" s="1">
        <v>1811</v>
      </c>
      <c r="I63" s="4">
        <v>1</v>
      </c>
      <c r="J63" s="4" t="s">
        <v>311</v>
      </c>
      <c r="K63" s="1" t="str">
        <f>H63 &amp; " " &amp; J63</f>
        <v>1811 ±1</v>
      </c>
      <c r="L63" s="1" t="str">
        <f>H63&amp;" "&amp;J63&amp;" "&amp;"("&amp;G63&amp;")"</f>
        <v>1811 ±1 (Xtm)</v>
      </c>
      <c r="M63" s="5" t="s">
        <v>47</v>
      </c>
      <c r="N63" s="1" t="s">
        <v>104</v>
      </c>
      <c r="O63" s="1" t="s">
        <v>197</v>
      </c>
      <c r="P63" s="5" t="s">
        <v>112</v>
      </c>
      <c r="Q63" s="1">
        <v>57.841388888888893</v>
      </c>
      <c r="R63" s="1">
        <v>57.841388888888893</v>
      </c>
      <c r="S63" s="1">
        <v>505873</v>
      </c>
      <c r="T63" s="1">
        <v>6411077</v>
      </c>
      <c r="U63" s="2" t="s">
        <v>124</v>
      </c>
    </row>
    <row r="64" spans="1:25" x14ac:dyDescent="0.25">
      <c r="A64" s="1" t="s">
        <v>48</v>
      </c>
      <c r="B64" s="2" t="s">
        <v>36</v>
      </c>
      <c r="C64" s="2" t="s">
        <v>28</v>
      </c>
      <c r="D64" s="1" t="s">
        <v>3</v>
      </c>
      <c r="E64" s="1" t="s">
        <v>148</v>
      </c>
      <c r="F64" s="1" t="s">
        <v>12</v>
      </c>
      <c r="G64" s="1" t="str">
        <f>IF('Working table'!$F51=$X$2,$Y$2,IF('Working table'!$F51=$X$3,$Y$3,IF('Working table'!$F51=$X$4,$Y$4,IF('Working table'!$F51=$X$5,$Y$5,$Y$6))))</f>
        <v>Xtm</v>
      </c>
      <c r="H64" s="1">
        <v>1805</v>
      </c>
      <c r="I64" s="4">
        <v>5</v>
      </c>
      <c r="J64" s="4" t="s">
        <v>321</v>
      </c>
      <c r="K64" s="1" t="str">
        <f>H64 &amp; " " &amp; J64</f>
        <v>1805 ±5</v>
      </c>
      <c r="L64" s="1" t="str">
        <f>H64&amp;" "&amp;J64&amp;" "&amp;"("&amp;G64&amp;")"</f>
        <v>1805 ±5 (Xtm)</v>
      </c>
      <c r="M64" s="5" t="s">
        <v>5</v>
      </c>
      <c r="N64" s="1" t="s">
        <v>104</v>
      </c>
      <c r="O64" s="1" t="s">
        <v>198</v>
      </c>
      <c r="P64" s="5" t="s">
        <v>112</v>
      </c>
      <c r="Q64" s="1">
        <v>57.841388888888893</v>
      </c>
      <c r="R64" s="1">
        <v>57.841388888888893</v>
      </c>
      <c r="S64" s="1">
        <v>505873</v>
      </c>
      <c r="T64" s="1">
        <v>6411077</v>
      </c>
      <c r="U64" s="2" t="s">
        <v>124</v>
      </c>
    </row>
    <row r="65" spans="1:25" x14ac:dyDescent="0.25">
      <c r="A65" s="1" t="s">
        <v>48</v>
      </c>
      <c r="B65" s="2" t="s">
        <v>31</v>
      </c>
      <c r="C65" s="2" t="s">
        <v>28</v>
      </c>
      <c r="D65" s="1" t="s">
        <v>3</v>
      </c>
      <c r="E65" s="1" t="s">
        <v>148</v>
      </c>
      <c r="F65" s="1" t="s">
        <v>8</v>
      </c>
      <c r="G65" s="1" t="str">
        <f>IF('Working table'!$F54=$X$2,$Y$2,IF('Working table'!$F54=$X$3,$Y$3,IF('Working table'!$F54=$X$4,$Y$4,IF('Working table'!$F54=$X$5,$Y$5,$Y$6))))</f>
        <v>Xtm</v>
      </c>
      <c r="H65" s="1">
        <v>1822</v>
      </c>
      <c r="I65" s="4">
        <v>5</v>
      </c>
      <c r="J65" s="4" t="s">
        <v>321</v>
      </c>
      <c r="K65" s="1" t="str">
        <f>H65 &amp; " " &amp; J65</f>
        <v>1822 ±5</v>
      </c>
      <c r="L65" s="1" t="str">
        <f>H65&amp;" "&amp;J65&amp;" "&amp;"("&amp;G65&amp;")"</f>
        <v>1822 ±5 (Xtm)</v>
      </c>
      <c r="M65" s="5" t="s">
        <v>47</v>
      </c>
      <c r="N65" s="1" t="s">
        <v>104</v>
      </c>
      <c r="O65" s="1" t="s">
        <v>202</v>
      </c>
      <c r="P65" s="5" t="s">
        <v>111</v>
      </c>
      <c r="Q65" s="1">
        <v>57.941666666666663</v>
      </c>
      <c r="R65" s="1">
        <v>57.941666666666663</v>
      </c>
      <c r="S65" s="1">
        <v>512466</v>
      </c>
      <c r="T65" s="1">
        <v>6422245</v>
      </c>
      <c r="U65" s="2" t="s">
        <v>124</v>
      </c>
      <c r="V65" s="2" t="s">
        <v>132</v>
      </c>
    </row>
    <row r="66" spans="1:25" x14ac:dyDescent="0.25">
      <c r="A66" s="1" t="s">
        <v>48</v>
      </c>
      <c r="B66" s="2" t="s">
        <v>31</v>
      </c>
      <c r="C66" s="2" t="s">
        <v>28</v>
      </c>
      <c r="D66" s="1" t="s">
        <v>3</v>
      </c>
      <c r="E66" s="1" t="s">
        <v>148</v>
      </c>
      <c r="F66" s="1" t="s">
        <v>8</v>
      </c>
      <c r="G66" s="1" t="str">
        <f>IF('Working table'!$F55=$X$2,$Y$2,IF('Working table'!$F55=$X$3,$Y$3,IF('Working table'!$F55=$X$4,$Y$4,IF('Working table'!$F55=$X$5,$Y$5,$Y$6))))</f>
        <v>Xtm</v>
      </c>
      <c r="H66" s="1">
        <v>1182</v>
      </c>
      <c r="I66" s="4">
        <v>7</v>
      </c>
      <c r="J66" s="4" t="s">
        <v>328</v>
      </c>
      <c r="K66" s="1" t="str">
        <f>H66 &amp; " " &amp; J66</f>
        <v>1182 ±7</v>
      </c>
      <c r="L66" s="1" t="str">
        <f>H66&amp;" "&amp;J66&amp;" "&amp;"("&amp;G66&amp;")"</f>
        <v>1182 ±7 (Xtm)</v>
      </c>
      <c r="M66" s="5" t="s">
        <v>5</v>
      </c>
      <c r="N66" s="1" t="s">
        <v>104</v>
      </c>
      <c r="O66" s="1" t="s">
        <v>199</v>
      </c>
      <c r="P66" s="5" t="s">
        <v>111</v>
      </c>
      <c r="Q66" s="1">
        <v>57.941666666666663</v>
      </c>
      <c r="R66" s="1">
        <v>57.941666666666663</v>
      </c>
      <c r="S66" s="1">
        <v>512466</v>
      </c>
      <c r="T66" s="1">
        <v>6422245</v>
      </c>
      <c r="U66" s="2" t="s">
        <v>124</v>
      </c>
      <c r="V66" s="2" t="s">
        <v>132</v>
      </c>
    </row>
    <row r="67" spans="1:25" x14ac:dyDescent="0.25">
      <c r="A67" s="1" t="s">
        <v>48</v>
      </c>
      <c r="B67" s="2" t="s">
        <v>31</v>
      </c>
      <c r="C67" s="2" t="s">
        <v>28</v>
      </c>
      <c r="D67" s="1" t="s">
        <v>3</v>
      </c>
      <c r="E67" s="1" t="s">
        <v>148</v>
      </c>
      <c r="F67" s="1" t="s">
        <v>12</v>
      </c>
      <c r="G67" s="1" t="str">
        <f>IF('Working table'!$F56=$X$2,$Y$2,IF('Working table'!$F56=$X$3,$Y$3,IF('Working table'!$F56=$X$4,$Y$4,IF('Working table'!$F56=$X$5,$Y$5,$Y$6))))</f>
        <v>Ttn</v>
      </c>
      <c r="H67" s="1">
        <v>1795</v>
      </c>
      <c r="I67" s="4">
        <v>1</v>
      </c>
      <c r="J67" s="4" t="s">
        <v>311</v>
      </c>
      <c r="K67" s="1" t="str">
        <f>H67 &amp; " " &amp; J67</f>
        <v>1795 ±1</v>
      </c>
      <c r="L67" s="1" t="str">
        <f>H67&amp;" "&amp;J67&amp;" "&amp;"("&amp;G67&amp;")"</f>
        <v>1795 ±1 (Ttn)</v>
      </c>
      <c r="M67" s="5" t="s">
        <v>5</v>
      </c>
      <c r="N67" s="1" t="s">
        <v>104</v>
      </c>
      <c r="O67" s="1" t="s">
        <v>201</v>
      </c>
      <c r="P67" s="5" t="s">
        <v>111</v>
      </c>
      <c r="Q67" s="1">
        <v>57.941666666666663</v>
      </c>
      <c r="R67" s="1">
        <v>57.941666666666663</v>
      </c>
      <c r="S67" s="1">
        <v>512466</v>
      </c>
      <c r="T67" s="1">
        <v>6422245</v>
      </c>
      <c r="U67" s="2" t="s">
        <v>124</v>
      </c>
      <c r="V67" s="2" t="s">
        <v>132</v>
      </c>
    </row>
    <row r="68" spans="1:25" x14ac:dyDescent="0.25">
      <c r="A68" s="1" t="s">
        <v>48</v>
      </c>
      <c r="B68" s="2" t="s">
        <v>31</v>
      </c>
      <c r="C68" s="2" t="s">
        <v>28</v>
      </c>
      <c r="D68" s="1" t="s">
        <v>3</v>
      </c>
      <c r="E68" s="1" t="s">
        <v>148</v>
      </c>
      <c r="F68" s="1" t="s">
        <v>12</v>
      </c>
      <c r="G68" s="1" t="str">
        <f>IF('Working table'!$F57=$X$2,$Y$2,IF('Working table'!$F57=$X$3,$Y$3,IF('Working table'!$F57=$X$4,$Y$4,IF('Working table'!$F57=$X$5,$Y$5,$Y$6))))</f>
        <v>Xtm</v>
      </c>
      <c r="H68" s="1">
        <v>1806</v>
      </c>
      <c r="I68" s="4">
        <v>1</v>
      </c>
      <c r="J68" s="4" t="s">
        <v>311</v>
      </c>
      <c r="K68" s="1" t="str">
        <f>H68 &amp; " " &amp; J68</f>
        <v>1806 ±1</v>
      </c>
      <c r="L68" s="1" t="str">
        <f>H68&amp;" "&amp;J68&amp;" "&amp;"("&amp;G68&amp;")"</f>
        <v>1806 ±1 (Xtm)</v>
      </c>
      <c r="M68" s="5" t="s">
        <v>5</v>
      </c>
      <c r="N68" s="1" t="s">
        <v>104</v>
      </c>
      <c r="O68" s="1" t="s">
        <v>200</v>
      </c>
      <c r="P68" s="5" t="s">
        <v>111</v>
      </c>
      <c r="Q68" s="1">
        <v>57.941666666666663</v>
      </c>
      <c r="R68" s="1">
        <v>57.941666666666663</v>
      </c>
      <c r="S68" s="1">
        <v>512466</v>
      </c>
      <c r="T68" s="1">
        <v>6422245</v>
      </c>
      <c r="U68" s="2" t="s">
        <v>124</v>
      </c>
      <c r="V68" s="2" t="s">
        <v>132</v>
      </c>
    </row>
    <row r="69" spans="1:25" x14ac:dyDescent="0.25">
      <c r="A69" s="1" t="s">
        <v>48</v>
      </c>
      <c r="B69" s="2" t="s">
        <v>33</v>
      </c>
      <c r="C69" s="2" t="s">
        <v>28</v>
      </c>
      <c r="D69" s="1" t="s">
        <v>3</v>
      </c>
      <c r="E69" s="1" t="s">
        <v>148</v>
      </c>
      <c r="F69" s="1" t="s">
        <v>8</v>
      </c>
      <c r="G69" s="1" t="str">
        <f>IF('Working table'!$F62=$X$2,$Y$2,IF('Working table'!$F62=$X$3,$Y$3,IF('Working table'!$F62=$X$4,$Y$4,IF('Working table'!$F62=$X$5,$Y$5,$Y$6))))</f>
        <v>Xtm</v>
      </c>
      <c r="H69" s="1">
        <v>1819</v>
      </c>
      <c r="I69" s="4">
        <v>6</v>
      </c>
      <c r="J69" s="4" t="s">
        <v>323</v>
      </c>
      <c r="K69" s="1" t="str">
        <f>H69 &amp; " " &amp; J69</f>
        <v>1819 ±6</v>
      </c>
      <c r="L69" s="1" t="str">
        <f>H69&amp;" "&amp;J69&amp;" "&amp;"("&amp;G69&amp;")"</f>
        <v>1819 ±6 (Xtm)</v>
      </c>
      <c r="M69" s="5" t="s">
        <v>47</v>
      </c>
      <c r="N69" s="1" t="s">
        <v>104</v>
      </c>
      <c r="O69" s="1" t="s">
        <v>204</v>
      </c>
      <c r="P69" s="5" t="s">
        <v>113</v>
      </c>
      <c r="Q69" s="1">
        <v>57.870833333333337</v>
      </c>
      <c r="R69" s="1">
        <v>57.870833333333337</v>
      </c>
      <c r="S69" s="1">
        <v>489315</v>
      </c>
      <c r="T69" s="1">
        <v>6414369</v>
      </c>
      <c r="U69" s="2" t="s">
        <v>281</v>
      </c>
      <c r="V69" s="2" t="s">
        <v>132</v>
      </c>
    </row>
    <row r="70" spans="1:25" x14ac:dyDescent="0.25">
      <c r="A70" s="1" t="s">
        <v>48</v>
      </c>
      <c r="B70" s="2" t="s">
        <v>33</v>
      </c>
      <c r="C70" s="2" t="s">
        <v>28</v>
      </c>
      <c r="D70" s="1" t="s">
        <v>3</v>
      </c>
      <c r="E70" s="1" t="s">
        <v>148</v>
      </c>
      <c r="F70" s="1" t="s">
        <v>8</v>
      </c>
      <c r="G70" s="1" t="str">
        <f>IF('Working table'!$F63=$X$2,$Y$2,IF('Working table'!$F63=$X$3,$Y$3,IF('Working table'!$F63=$X$4,$Y$4,IF('Working table'!$F63=$X$5,$Y$5,$Y$6))))</f>
        <v>Xtm</v>
      </c>
      <c r="H70" s="1">
        <v>1224</v>
      </c>
      <c r="I70" s="4">
        <v>6</v>
      </c>
      <c r="J70" s="4" t="s">
        <v>323</v>
      </c>
      <c r="K70" s="1" t="str">
        <f>H70 &amp; " " &amp; J70</f>
        <v>1224 ±6</v>
      </c>
      <c r="L70" s="1" t="str">
        <f>H70&amp;" "&amp;J70&amp;" "&amp;"("&amp;G70&amp;")"</f>
        <v>1224 ±6 (Xtm)</v>
      </c>
      <c r="M70" s="5" t="s">
        <v>5</v>
      </c>
      <c r="N70" s="1" t="s">
        <v>104</v>
      </c>
      <c r="O70" s="1" t="s">
        <v>203</v>
      </c>
      <c r="P70" s="5" t="s">
        <v>113</v>
      </c>
      <c r="Q70" s="1">
        <v>57.870833333333337</v>
      </c>
      <c r="R70" s="1">
        <v>57.870833333333337</v>
      </c>
      <c r="S70" s="1">
        <v>489315</v>
      </c>
      <c r="T70" s="1">
        <v>6414369</v>
      </c>
      <c r="U70" s="2" t="s">
        <v>124</v>
      </c>
      <c r="V70" s="2" t="s">
        <v>132</v>
      </c>
    </row>
    <row r="71" spans="1:25" x14ac:dyDescent="0.25">
      <c r="A71" s="1" t="s">
        <v>48</v>
      </c>
      <c r="B71" s="2" t="s">
        <v>46</v>
      </c>
      <c r="C71" s="2" t="s">
        <v>28</v>
      </c>
      <c r="D71" s="1" t="s">
        <v>3</v>
      </c>
      <c r="E71" s="1" t="s">
        <v>148</v>
      </c>
      <c r="F71" s="1" t="s">
        <v>12</v>
      </c>
      <c r="G71" s="1" t="str">
        <f>IF('Working table'!$F74=$X$2,$Y$2,IF('Working table'!$F74=$X$3,$Y$3,IF('Working table'!$F74=$X$4,$Y$4,IF('Working table'!$F74=$X$5,$Y$5,$Y$6))))</f>
        <v>Xtm</v>
      </c>
      <c r="H71" s="1">
        <v>1812</v>
      </c>
      <c r="I71" s="4">
        <v>2</v>
      </c>
      <c r="J71" s="4" t="s">
        <v>312</v>
      </c>
      <c r="K71" s="1" t="str">
        <f>H71 &amp; " " &amp; J71</f>
        <v>1812 ±2</v>
      </c>
      <c r="L71" s="1" t="str">
        <f>H71&amp;" "&amp;J71&amp;" "&amp;"("&amp;G71&amp;")"</f>
        <v>1812 ±2 (Xtm)</v>
      </c>
      <c r="M71" s="5" t="s">
        <v>47</v>
      </c>
      <c r="N71" s="1" t="s">
        <v>104</v>
      </c>
      <c r="O71" s="1" t="s">
        <v>208</v>
      </c>
      <c r="P71" s="5" t="s">
        <v>114</v>
      </c>
      <c r="Q71" s="1">
        <v>57.206944444444446</v>
      </c>
      <c r="R71" s="1">
        <v>57.206944444444446</v>
      </c>
      <c r="S71" s="1">
        <v>465145</v>
      </c>
      <c r="T71" s="1">
        <v>6340577</v>
      </c>
      <c r="U71" s="2" t="s">
        <v>124</v>
      </c>
      <c r="V71" s="2" t="s">
        <v>125</v>
      </c>
    </row>
    <row r="72" spans="1:25" x14ac:dyDescent="0.25">
      <c r="A72" s="1" t="s">
        <v>90</v>
      </c>
      <c r="B72" s="2" t="s">
        <v>53</v>
      </c>
      <c r="C72" s="2" t="s">
        <v>28</v>
      </c>
      <c r="D72" s="1" t="s">
        <v>3</v>
      </c>
      <c r="E72" s="1" t="s">
        <v>148</v>
      </c>
      <c r="F72" s="1" t="s">
        <v>12</v>
      </c>
      <c r="G72" s="1" t="str">
        <f>IF('Working table'!$F78=$X$2,$Y$2,IF('Working table'!$F78=$X$3,$Y$3,IF('Working table'!$F78=$X$4,$Y$4,IF('Working table'!$F78=$X$5,$Y$5,$Y$6))))</f>
        <v>Xtm</v>
      </c>
      <c r="H72" s="1">
        <v>1810</v>
      </c>
      <c r="I72" s="4">
        <v>3</v>
      </c>
      <c r="J72" s="4" t="s">
        <v>314</v>
      </c>
      <c r="K72" s="1" t="str">
        <f>H72 &amp; " " &amp; J72</f>
        <v>1810 ±3</v>
      </c>
      <c r="L72" s="1" t="str">
        <f>H72&amp;" "&amp;J72&amp;" "&amp;"("&amp;G72&amp;")"</f>
        <v>1810 ±3 (Xtm)</v>
      </c>
      <c r="M72" s="5" t="s">
        <v>47</v>
      </c>
      <c r="N72" s="1" t="s">
        <v>104</v>
      </c>
      <c r="P72" s="5" t="s">
        <v>107</v>
      </c>
      <c r="Q72" s="1">
        <v>58.271666666666668</v>
      </c>
      <c r="R72" s="1">
        <v>58.271666666666668</v>
      </c>
      <c r="S72" s="1">
        <v>569498</v>
      </c>
      <c r="T72" s="1">
        <v>6459575</v>
      </c>
      <c r="U72" s="2" t="s">
        <v>122</v>
      </c>
      <c r="V72" s="2" t="s">
        <v>127</v>
      </c>
    </row>
    <row r="73" spans="1:25" x14ac:dyDescent="0.25">
      <c r="B73" s="2" t="s">
        <v>287</v>
      </c>
      <c r="C73" s="2" t="s">
        <v>28</v>
      </c>
      <c r="D73" s="1" t="s">
        <v>3</v>
      </c>
      <c r="E73" s="1" t="s">
        <v>251</v>
      </c>
      <c r="F73" s="1" t="s">
        <v>12</v>
      </c>
      <c r="G73" s="1" t="str">
        <f>IF('Working table'!$F96=$X$2,$Y$2,IF('Working table'!$F96=$X$3,$Y$3,IF('Working table'!$F96=$X$4,$Y$4,IF('Working table'!$F96=$X$5,$Y$5,$Y$6))))</f>
        <v>Xtm</v>
      </c>
      <c r="H73" s="1">
        <v>1830</v>
      </c>
      <c r="I73" s="4" t="s">
        <v>179</v>
      </c>
      <c r="J73" s="4" t="s">
        <v>321</v>
      </c>
      <c r="K73" s="1" t="str">
        <f>H73 &amp; " " &amp; J73</f>
        <v>1830 ±5</v>
      </c>
      <c r="L73" s="1" t="str">
        <f>H73&amp;" "&amp;J73&amp;" "&amp;"("&amp;G73&amp;")"</f>
        <v>1830 ±5 (Xtm)</v>
      </c>
      <c r="M73" s="5" t="s">
        <v>47</v>
      </c>
      <c r="N73" s="1" t="s">
        <v>149</v>
      </c>
      <c r="P73" s="5" t="s">
        <v>252</v>
      </c>
      <c r="Q73" s="1" t="s">
        <v>278</v>
      </c>
      <c r="R73" s="1" t="s">
        <v>278</v>
      </c>
      <c r="U73" s="2" t="s">
        <v>414</v>
      </c>
    </row>
    <row r="74" spans="1:25" x14ac:dyDescent="0.25">
      <c r="A74" s="1" t="s">
        <v>90</v>
      </c>
      <c r="B74" s="2" t="s">
        <v>74</v>
      </c>
      <c r="C74" s="2" t="s">
        <v>75</v>
      </c>
      <c r="D74" s="1" t="s">
        <v>3</v>
      </c>
      <c r="E74" s="1" t="s">
        <v>148</v>
      </c>
      <c r="F74" s="1" t="s">
        <v>12</v>
      </c>
      <c r="G74" s="1" t="str">
        <f>IF('Working table'!$F11=$X$2,$Y$2,IF('Working table'!$F11=$X$3,$Y$3,IF('Working table'!$F11=$X$4,$Y$4,IF('Working table'!$F11=$X$5,$Y$5,$Y$6))))</f>
        <v>Xtm</v>
      </c>
      <c r="H74" s="1">
        <v>1812</v>
      </c>
      <c r="I74" s="4">
        <v>2</v>
      </c>
      <c r="J74" s="4" t="s">
        <v>312</v>
      </c>
      <c r="K74" s="1" t="str">
        <f>H74 &amp; " " &amp; J74</f>
        <v>1812 ±2</v>
      </c>
      <c r="L74" s="1" t="str">
        <f>H74&amp;" "&amp;J74&amp;" "&amp;"("&amp;G74&amp;")"</f>
        <v>1812 ±2 (Xtm)</v>
      </c>
      <c r="M74" s="5" t="s">
        <v>5</v>
      </c>
      <c r="N74" s="1" t="s">
        <v>149</v>
      </c>
      <c r="P74" s="5" t="s">
        <v>97</v>
      </c>
      <c r="Q74" s="1">
        <v>58.149722222222223</v>
      </c>
      <c r="R74" s="1">
        <v>58.149722222222223</v>
      </c>
      <c r="S74" s="1">
        <v>573147</v>
      </c>
      <c r="T74" s="1">
        <v>6446066</v>
      </c>
      <c r="U74" s="2" t="s">
        <v>118</v>
      </c>
    </row>
    <row r="75" spans="1:25" x14ac:dyDescent="0.25">
      <c r="A75" s="1" t="s">
        <v>48</v>
      </c>
      <c r="B75" s="2" t="s">
        <v>9</v>
      </c>
      <c r="C75" s="2" t="s">
        <v>10</v>
      </c>
      <c r="D75" s="1" t="s">
        <v>3</v>
      </c>
      <c r="E75" s="1" t="s">
        <v>148</v>
      </c>
      <c r="F75" s="1" t="s">
        <v>8</v>
      </c>
      <c r="G75" s="1" t="str">
        <f>IF('Working table'!$F25=$X$2,$Y$2,IF('Working table'!$F25=$X$3,$Y$3,IF('Working table'!$F25=$X$4,$Y$4,IF('Working table'!$F25=$X$5,$Y$5,$Y$6))))</f>
        <v>Xtm</v>
      </c>
      <c r="H75" s="1" t="s">
        <v>14</v>
      </c>
      <c r="I75" s="4" t="s">
        <v>15</v>
      </c>
      <c r="K75" s="1" t="str">
        <f>H75 &amp; " " &amp; J75</f>
        <v xml:space="preserve">2546-2792 </v>
      </c>
      <c r="L75" s="1" t="str">
        <f>H75&amp;" "&amp;J75&amp;" "&amp;"("&amp;G75&amp;")"</f>
        <v>2546-2792  (Xtm)</v>
      </c>
      <c r="M75" s="5" t="s">
        <v>13</v>
      </c>
      <c r="N75" s="1" t="s">
        <v>149</v>
      </c>
      <c r="P75" s="5" t="s">
        <v>98</v>
      </c>
      <c r="Q75" s="1">
        <v>56.939166666666665</v>
      </c>
      <c r="R75" s="1">
        <v>56.939166666666665</v>
      </c>
      <c r="S75" s="1">
        <v>431133</v>
      </c>
      <c r="T75" s="1">
        <v>6311188</v>
      </c>
      <c r="U75" s="2" t="s">
        <v>118</v>
      </c>
      <c r="W75" s="2" t="s">
        <v>304</v>
      </c>
      <c r="Y75" s="22"/>
    </row>
    <row r="76" spans="1:25" x14ac:dyDescent="0.25">
      <c r="A76" s="1" t="s">
        <v>48</v>
      </c>
      <c r="B76" s="2" t="s">
        <v>9</v>
      </c>
      <c r="C76" s="2" t="s">
        <v>10</v>
      </c>
      <c r="D76" s="1" t="s">
        <v>3</v>
      </c>
      <c r="E76" s="1" t="s">
        <v>148</v>
      </c>
      <c r="F76" s="1" t="s">
        <v>12</v>
      </c>
      <c r="G76" s="1" t="str">
        <f>IF('Working table'!$F26=$X$2,$Y$2,IF('Working table'!$F26=$X$3,$Y$3,IF('Working table'!$F26=$X$4,$Y$4,IF('Working table'!$F26=$X$5,$Y$5,$Y$6))))</f>
        <v>Xtm</v>
      </c>
      <c r="H76" s="1">
        <v>1814</v>
      </c>
      <c r="I76" s="4">
        <v>2</v>
      </c>
      <c r="J76" s="4" t="s">
        <v>312</v>
      </c>
      <c r="K76" s="1" t="str">
        <f>H76 &amp; " " &amp; J76</f>
        <v>1814 ±2</v>
      </c>
      <c r="L76" s="1" t="str">
        <f>H76&amp;" "&amp;J76&amp;" "&amp;"("&amp;G76&amp;")"</f>
        <v>1814 ±2 (Xtm)</v>
      </c>
      <c r="M76" s="5" t="s">
        <v>5</v>
      </c>
      <c r="N76" s="1" t="s">
        <v>149</v>
      </c>
      <c r="P76" s="5" t="s">
        <v>98</v>
      </c>
      <c r="Q76" s="1">
        <v>56.939166666666665</v>
      </c>
      <c r="R76" s="1">
        <v>56.939166666666665</v>
      </c>
      <c r="S76" s="1">
        <v>431133</v>
      </c>
      <c r="T76" s="1">
        <v>6311188</v>
      </c>
      <c r="U76" s="2" t="s">
        <v>118</v>
      </c>
    </row>
    <row r="77" spans="1:25" ht="14.25" customHeight="1" x14ac:dyDescent="0.25">
      <c r="A77"/>
      <c r="B77"/>
      <c r="C77" s="2" t="s">
        <v>75</v>
      </c>
      <c r="D77"/>
      <c r="E77"/>
      <c r="F77" s="1" t="s">
        <v>8</v>
      </c>
      <c r="G77" s="1" t="str">
        <f>IF('Working table'!$F99=$X$2,$Y$2,IF('Working table'!$F99=$X$3,$Y$3,IF('Working table'!$F99=$X$4,$Y$4,IF('Working table'!$F99=$X$5,$Y$5,$Y$6))))</f>
        <v>Xtm</v>
      </c>
      <c r="H77" s="1">
        <v>2745</v>
      </c>
      <c r="I77"/>
      <c r="J77"/>
      <c r="K77" s="1" t="str">
        <f>H77 &amp; " " &amp; J77</f>
        <v xml:space="preserve">2745 </v>
      </c>
      <c r="L77" s="1" t="str">
        <f>H77&amp;" "&amp;J77&amp;" "&amp;"("&amp;G77&amp;")"</f>
        <v>2745  (Xtm)</v>
      </c>
      <c r="M77"/>
      <c r="N77"/>
      <c r="O77"/>
      <c r="P77" s="5" t="s">
        <v>416</v>
      </c>
      <c r="Q77"/>
      <c r="R77"/>
      <c r="S77"/>
      <c r="T77"/>
      <c r="U77" s="2" t="s">
        <v>417</v>
      </c>
      <c r="V77"/>
    </row>
    <row r="78" spans="1:25" ht="14.25" customHeight="1" x14ac:dyDescent="0.25">
      <c r="A78" s="1" t="s">
        <v>90</v>
      </c>
      <c r="B78" s="2" t="s">
        <v>73</v>
      </c>
      <c r="C78" s="2" t="s">
        <v>58</v>
      </c>
      <c r="D78" s="1" t="s">
        <v>3</v>
      </c>
      <c r="E78" s="1" t="s">
        <v>148</v>
      </c>
      <c r="F78" s="1" t="s">
        <v>8</v>
      </c>
      <c r="G78" s="1" t="str">
        <f>IF('Working table'!$F9=$X$2,$Y$2,IF('Working table'!$F9=$X$3,$Y$3,IF('Working table'!$F9=$X$4,$Y$4,IF('Working table'!$F9=$X$5,$Y$5,$Y$6))))</f>
        <v>Xtm</v>
      </c>
      <c r="H78" s="1">
        <v>1815</v>
      </c>
      <c r="I78" s="4">
        <v>2</v>
      </c>
      <c r="J78" s="4" t="s">
        <v>312</v>
      </c>
      <c r="K78" s="1" t="str">
        <f>H78 &amp; " " &amp; J78</f>
        <v>1815 ±2</v>
      </c>
      <c r="L78" s="1" t="str">
        <f>H78&amp;" "&amp;J78&amp;" "&amp;"("&amp;G78&amp;")"</f>
        <v>1815 ±2 (Xtm)</v>
      </c>
      <c r="M78" s="5" t="s">
        <v>47</v>
      </c>
      <c r="N78" s="1" t="s">
        <v>149</v>
      </c>
      <c r="P78" s="5" t="s">
        <v>97</v>
      </c>
      <c r="Q78" s="1">
        <v>58.176388888888887</v>
      </c>
      <c r="R78" s="1">
        <v>58.176388888888887</v>
      </c>
      <c r="S78" s="1">
        <v>574567</v>
      </c>
      <c r="T78" s="1">
        <v>6449063</v>
      </c>
      <c r="U78" s="2" t="s">
        <v>118</v>
      </c>
    </row>
    <row r="79" spans="1:25" x14ac:dyDescent="0.25">
      <c r="A79" s="1" t="s">
        <v>90</v>
      </c>
      <c r="B79" s="2" t="s">
        <v>73</v>
      </c>
      <c r="C79" s="2" t="s">
        <v>58</v>
      </c>
      <c r="D79" s="1" t="s">
        <v>3</v>
      </c>
      <c r="E79" s="1" t="s">
        <v>148</v>
      </c>
      <c r="F79" s="1" t="s">
        <v>4</v>
      </c>
      <c r="G79" s="1" t="str">
        <f>IF('Working table'!$F10=$X$2,$Y$2,IF('Working table'!$F10=$X$3,$Y$3,IF('Working table'!$F10=$X$4,$Y$4,IF('Working table'!$F10=$X$5,$Y$5,$Y$6))))</f>
        <v>Xtm</v>
      </c>
      <c r="H79" s="1">
        <v>1788</v>
      </c>
      <c r="I79" s="4">
        <v>2</v>
      </c>
      <c r="J79" s="4" t="s">
        <v>312</v>
      </c>
      <c r="K79" s="1" t="str">
        <f>H79 &amp; " " &amp; J79</f>
        <v>1788 ±2</v>
      </c>
      <c r="L79" s="1" t="str">
        <f>H79&amp;" "&amp;J79&amp;" "&amp;"("&amp;G79&amp;")"</f>
        <v>1788 ±2 (Xtm)</v>
      </c>
      <c r="M79" s="5" t="s">
        <v>5</v>
      </c>
      <c r="N79" s="1" t="s">
        <v>149</v>
      </c>
      <c r="P79" s="5" t="s">
        <v>97</v>
      </c>
      <c r="Q79" s="1">
        <v>58.176388888888887</v>
      </c>
      <c r="R79" s="1">
        <v>58.176388888888887</v>
      </c>
      <c r="S79" s="1">
        <v>574567</v>
      </c>
      <c r="T79" s="1">
        <v>6449063</v>
      </c>
      <c r="U79" s="2" t="s">
        <v>118</v>
      </c>
    </row>
    <row r="80" spans="1:25" x14ac:dyDescent="0.25">
      <c r="A80" s="1" t="s">
        <v>90</v>
      </c>
      <c r="B80" s="2" t="s">
        <v>57</v>
      </c>
      <c r="C80" s="2" t="s">
        <v>58</v>
      </c>
      <c r="D80" s="1" t="s">
        <v>3</v>
      </c>
      <c r="E80" s="1" t="s">
        <v>148</v>
      </c>
      <c r="F80" s="1" t="s">
        <v>8</v>
      </c>
      <c r="G80" s="1" t="str">
        <f>IF('Working table'!$F45=$X$2,$Y$2,IF('Working table'!$F45=$X$3,$Y$3,IF('Working table'!$F45=$X$4,$Y$4,IF('Working table'!$F45=$X$5,$Y$5,$Y$6))))</f>
        <v>Xtm</v>
      </c>
      <c r="H80" s="1">
        <v>1812</v>
      </c>
      <c r="I80" s="4">
        <v>3</v>
      </c>
      <c r="J80" s="4" t="s">
        <v>314</v>
      </c>
      <c r="K80" s="1" t="str">
        <f>H80 &amp; " " &amp; J80</f>
        <v>1812 ±3</v>
      </c>
      <c r="L80" s="1" t="str">
        <f>H80&amp;" "&amp;J80&amp;" "&amp;"("&amp;G80&amp;")"</f>
        <v>1812 ±3 (Xtm)</v>
      </c>
      <c r="M80" s="5" t="s">
        <v>47</v>
      </c>
      <c r="N80" s="1" t="s">
        <v>149</v>
      </c>
      <c r="P80" s="5" t="s">
        <v>102</v>
      </c>
      <c r="Q80" s="1">
        <v>58.304166666666667</v>
      </c>
      <c r="R80" s="1">
        <v>58.304166666666667</v>
      </c>
      <c r="S80" s="1">
        <v>585691</v>
      </c>
      <c r="T80" s="1">
        <v>6463495</v>
      </c>
      <c r="U80" s="2" t="s">
        <v>122</v>
      </c>
      <c r="V80" s="2" t="s">
        <v>130</v>
      </c>
    </row>
    <row r="81" spans="1:25" x14ac:dyDescent="0.25">
      <c r="A81" s="1" t="s">
        <v>48</v>
      </c>
      <c r="B81" s="2" t="s">
        <v>309</v>
      </c>
      <c r="C81" s="2" t="s">
        <v>146</v>
      </c>
      <c r="D81" s="1" t="s">
        <v>3</v>
      </c>
      <c r="E81" s="1" t="s">
        <v>148</v>
      </c>
      <c r="F81" s="1" t="s">
        <v>8</v>
      </c>
      <c r="G81" s="1" t="str">
        <f>IF('Working table'!$F91=$X$2,$Y$2,IF('Working table'!$F91=$X$3,$Y$3,IF('Working table'!$F91=$X$4,$Y$4,IF('Working table'!$F91=$X$5,$Y$5,$Y$6))))</f>
        <v>Ttn</v>
      </c>
      <c r="H81" s="1">
        <v>1824</v>
      </c>
      <c r="I81" s="4" t="s">
        <v>169</v>
      </c>
      <c r="J81" s="4" t="s">
        <v>314</v>
      </c>
      <c r="K81" s="1" t="str">
        <f>H81 &amp; " " &amp; J81</f>
        <v>1824 ±3</v>
      </c>
      <c r="L81" s="1" t="str">
        <f>H81&amp;" "&amp;J81&amp;" "&amp;"("&amp;G81&amp;")"</f>
        <v>1824 ±3 (Ttn)</v>
      </c>
      <c r="M81" s="5" t="s">
        <v>47</v>
      </c>
      <c r="N81" s="1" t="s">
        <v>104</v>
      </c>
      <c r="O81" s="1" t="s">
        <v>209</v>
      </c>
      <c r="P81" s="5" t="s">
        <v>115</v>
      </c>
      <c r="Q81" s="1">
        <v>57.508333333333333</v>
      </c>
      <c r="R81" s="1">
        <v>57.508333333333333</v>
      </c>
      <c r="S81" s="1">
        <v>481567</v>
      </c>
      <c r="T81" s="1">
        <v>6374041</v>
      </c>
      <c r="U81" s="2" t="s">
        <v>124</v>
      </c>
    </row>
    <row r="82" spans="1:25" x14ac:dyDescent="0.25">
      <c r="A82" s="1" t="s">
        <v>90</v>
      </c>
      <c r="B82" s="2" t="s">
        <v>83</v>
      </c>
      <c r="C82" s="2" t="s">
        <v>84</v>
      </c>
      <c r="D82" s="1" t="s">
        <v>3</v>
      </c>
      <c r="E82" s="1" t="s">
        <v>148</v>
      </c>
      <c r="F82" s="1" t="s">
        <v>8</v>
      </c>
      <c r="G82" s="1" t="str">
        <f>IF('Working table'!$F20=$X$2,$Y$2,IF('Working table'!$F20=$X$3,$Y$3,IF('Working table'!$F20=$X$4,$Y$4,IF('Working table'!$F20=$X$5,$Y$5,$Y$6))))</f>
        <v>Xtm</v>
      </c>
      <c r="H82" s="1">
        <v>2638</v>
      </c>
      <c r="I82" s="4" t="s">
        <v>184</v>
      </c>
      <c r="J82" s="1" t="s">
        <v>320</v>
      </c>
      <c r="K82" s="1" t="str">
        <f>H82 &amp; " " &amp; J82</f>
        <v>2638 ±65</v>
      </c>
      <c r="L82" s="1" t="str">
        <f>H82&amp;" "&amp;J82&amp;" "&amp;"("&amp;G82&amp;")"</f>
        <v>2638 ±65 (Xtm)</v>
      </c>
      <c r="M82" s="5" t="s">
        <v>47</v>
      </c>
      <c r="N82" s="1" t="s">
        <v>149</v>
      </c>
      <c r="P82" s="5" t="s">
        <v>121</v>
      </c>
      <c r="Q82" s="1">
        <v>58.13388888888889</v>
      </c>
      <c r="R82" s="1">
        <v>58.13388888888889</v>
      </c>
      <c r="S82" s="1">
        <v>587482</v>
      </c>
      <c r="T82" s="1">
        <v>6444603</v>
      </c>
      <c r="U82" s="2" t="s">
        <v>118</v>
      </c>
      <c r="W82" s="2" t="s">
        <v>306</v>
      </c>
    </row>
    <row r="83" spans="1:25" x14ac:dyDescent="0.25">
      <c r="A83" s="1" t="s">
        <v>90</v>
      </c>
      <c r="B83" s="2" t="s">
        <v>83</v>
      </c>
      <c r="C83" s="2" t="s">
        <v>84</v>
      </c>
      <c r="D83" s="1" t="s">
        <v>3</v>
      </c>
      <c r="E83" s="1" t="s">
        <v>148</v>
      </c>
      <c r="F83" s="1" t="s">
        <v>4</v>
      </c>
      <c r="G83" s="1" t="str">
        <f>IF('Working table'!$F21=$X$2,$Y$2,IF('Working table'!$F21=$X$3,$Y$3,IF('Working table'!$F21=$X$4,$Y$4,IF('Working table'!$F21=$X$5,$Y$5,$Y$6))))</f>
        <v>Xtm</v>
      </c>
      <c r="H83" s="1">
        <v>1779</v>
      </c>
      <c r="I83" s="4">
        <v>2</v>
      </c>
      <c r="J83" s="4" t="s">
        <v>312</v>
      </c>
      <c r="K83" s="1" t="str">
        <f>H83 &amp; " " &amp; J83</f>
        <v>1779 ±2</v>
      </c>
      <c r="L83" s="1" t="str">
        <f>H83&amp;" "&amp;J83&amp;" "&amp;"("&amp;G83&amp;")"</f>
        <v>1779 ±2 (Xtm)</v>
      </c>
      <c r="M83" s="5" t="s">
        <v>5</v>
      </c>
      <c r="N83" s="1" t="s">
        <v>149</v>
      </c>
      <c r="P83" s="5" t="s">
        <v>121</v>
      </c>
      <c r="Q83" s="1">
        <v>58.13388888888889</v>
      </c>
      <c r="R83" s="1">
        <v>58.13388888888889</v>
      </c>
      <c r="S83" s="1">
        <v>587482</v>
      </c>
      <c r="T83" s="1">
        <v>6444603</v>
      </c>
      <c r="U83" s="2" t="s">
        <v>118</v>
      </c>
      <c r="V83" s="2" t="s">
        <v>120</v>
      </c>
      <c r="Y83" s="22"/>
    </row>
    <row r="84" spans="1:25" x14ac:dyDescent="0.25">
      <c r="A84" s="1" t="s">
        <v>48</v>
      </c>
      <c r="B84" s="2" t="s">
        <v>17</v>
      </c>
      <c r="C84" s="2" t="s">
        <v>18</v>
      </c>
      <c r="D84" s="1" t="s">
        <v>3</v>
      </c>
      <c r="E84" s="1" t="s">
        <v>148</v>
      </c>
      <c r="F84" s="1" t="s">
        <v>4</v>
      </c>
      <c r="G84" s="1" t="str">
        <f>IF('Working table'!$F37=$X$2,$Y$2,IF('Working table'!$F37=$X$3,$Y$3,IF('Working table'!$F37=$X$4,$Y$4,IF('Working table'!$F37=$X$5,$Y$5,$Y$6))))</f>
        <v>Xtm</v>
      </c>
      <c r="H84" s="1">
        <v>1806</v>
      </c>
      <c r="I84" s="4">
        <v>3</v>
      </c>
      <c r="J84" s="4" t="s">
        <v>314</v>
      </c>
      <c r="K84" s="1" t="str">
        <f>H84 &amp; " " &amp; J84</f>
        <v>1806 ±3</v>
      </c>
      <c r="L84" s="1" t="str">
        <f>H84&amp;" "&amp;J84&amp;" "&amp;"("&amp;G84&amp;")"</f>
        <v>1806 ±3 (Xtm)</v>
      </c>
      <c r="M84" s="5" t="s">
        <v>5</v>
      </c>
      <c r="N84" s="1" t="s">
        <v>149</v>
      </c>
      <c r="P84" s="5" t="s">
        <v>98</v>
      </c>
      <c r="Q84" s="1">
        <v>56.928055555555552</v>
      </c>
      <c r="R84" s="1">
        <v>56.928055555555552</v>
      </c>
      <c r="S84" s="1">
        <v>431724</v>
      </c>
      <c r="T84" s="1">
        <v>6309940</v>
      </c>
      <c r="U84" s="2" t="s">
        <v>122</v>
      </c>
    </row>
    <row r="85" spans="1:25" x14ac:dyDescent="0.25">
      <c r="A85" s="1" t="s">
        <v>48</v>
      </c>
      <c r="B85" s="2" t="s">
        <v>21</v>
      </c>
      <c r="C85" s="2" t="s">
        <v>22</v>
      </c>
      <c r="D85" s="1" t="s">
        <v>3</v>
      </c>
      <c r="E85" s="1" t="s">
        <v>148</v>
      </c>
      <c r="F85" s="1" t="s">
        <v>8</v>
      </c>
      <c r="G85" s="1" t="str">
        <f>IF('Working table'!$F29=$X$2,$Y$2,IF('Working table'!$F29=$X$3,$Y$3,IF('Working table'!$F29=$X$4,$Y$4,IF('Working table'!$F29=$X$5,$Y$5,$Y$6))))</f>
        <v>Xtm</v>
      </c>
      <c r="H85" s="1">
        <v>2594</v>
      </c>
      <c r="I85" s="4">
        <v>10</v>
      </c>
      <c r="J85" s="4" t="s">
        <v>316</v>
      </c>
      <c r="K85" s="1" t="str">
        <f>H85 &amp; " " &amp; J85</f>
        <v>2594 ±10</v>
      </c>
      <c r="L85" s="1" t="str">
        <f>H85&amp;" "&amp;J85&amp;" "&amp;"("&amp;G85&amp;")"</f>
        <v>2594 ±10 (Xtm)</v>
      </c>
      <c r="M85" s="5" t="s">
        <v>47</v>
      </c>
      <c r="N85" s="1" t="s">
        <v>149</v>
      </c>
      <c r="P85" s="5" t="s">
        <v>98</v>
      </c>
      <c r="Q85" s="1">
        <v>56.909722222222221</v>
      </c>
      <c r="R85" s="1">
        <v>56.909722222222221</v>
      </c>
      <c r="S85" s="1">
        <v>428830</v>
      </c>
      <c r="T85" s="1">
        <v>6307959</v>
      </c>
      <c r="U85" s="2" t="s">
        <v>122</v>
      </c>
    </row>
    <row r="86" spans="1:25" x14ac:dyDescent="0.25">
      <c r="A86" s="1" t="s">
        <v>48</v>
      </c>
      <c r="B86" s="2" t="s">
        <v>21</v>
      </c>
      <c r="C86" s="2" t="s">
        <v>22</v>
      </c>
      <c r="D86" s="1" t="s">
        <v>3</v>
      </c>
      <c r="E86" s="1" t="s">
        <v>148</v>
      </c>
      <c r="F86" s="1" t="s">
        <v>12</v>
      </c>
      <c r="G86" s="1" t="str">
        <f>IF('Working table'!$F30=$X$2,$Y$2,IF('Working table'!$F30=$X$3,$Y$3,IF('Working table'!$F30=$X$4,$Y$4,IF('Working table'!$F30=$X$5,$Y$5,$Y$6))))</f>
        <v>Xtm</v>
      </c>
      <c r="H86" s="1">
        <v>1806</v>
      </c>
      <c r="I86" s="4">
        <v>2</v>
      </c>
      <c r="J86" s="4" t="s">
        <v>312</v>
      </c>
      <c r="K86" s="1" t="str">
        <f>H86 &amp; " " &amp; J86</f>
        <v>1806 ±2</v>
      </c>
      <c r="L86" s="1" t="str">
        <f>H86&amp;" "&amp;J86&amp;" "&amp;"("&amp;G86&amp;")"</f>
        <v>1806 ±2 (Xtm)</v>
      </c>
      <c r="M86" s="5" t="s">
        <v>5</v>
      </c>
      <c r="N86" s="1" t="s">
        <v>149</v>
      </c>
      <c r="P86" s="5" t="s">
        <v>98</v>
      </c>
      <c r="Q86" s="1">
        <v>56.909722222222221</v>
      </c>
      <c r="R86" s="1">
        <v>56.909722222222221</v>
      </c>
      <c r="S86" s="1">
        <v>428830</v>
      </c>
      <c r="T86" s="1">
        <v>6307959</v>
      </c>
      <c r="U86" s="2" t="s">
        <v>122</v>
      </c>
      <c r="V86" s="2" t="s">
        <v>119</v>
      </c>
    </row>
    <row r="87" spans="1:25" x14ac:dyDescent="0.25">
      <c r="A87" s="1" t="s">
        <v>48</v>
      </c>
      <c r="B87" s="2" t="s">
        <v>21</v>
      </c>
      <c r="C87" s="2" t="s">
        <v>22</v>
      </c>
      <c r="D87" s="1" t="s">
        <v>3</v>
      </c>
      <c r="E87" s="1" t="s">
        <v>148</v>
      </c>
      <c r="F87" s="1" t="s">
        <v>12</v>
      </c>
      <c r="G87" s="1" t="str">
        <f>IF('Working table'!$F31=$X$2,$Y$2,IF('Working table'!$F31=$X$3,$Y$3,IF('Working table'!$F31=$X$4,$Y$4,IF('Working table'!$F31=$X$5,$Y$5,$Y$6))))</f>
        <v>Xtm</v>
      </c>
      <c r="H87" s="1">
        <v>1795</v>
      </c>
      <c r="I87" s="4">
        <v>2</v>
      </c>
      <c r="J87" s="4" t="s">
        <v>312</v>
      </c>
      <c r="K87" s="1" t="str">
        <f>H87 &amp; " " &amp; J87</f>
        <v>1795 ±2</v>
      </c>
      <c r="L87" s="1" t="str">
        <f>H87&amp;" "&amp;J87&amp;" "&amp;"("&amp;G87&amp;")"</f>
        <v>1795 ±2 (Xtm)</v>
      </c>
      <c r="M87" s="5" t="s">
        <v>5</v>
      </c>
      <c r="N87" s="1" t="s">
        <v>149</v>
      </c>
      <c r="P87" s="5" t="s">
        <v>98</v>
      </c>
      <c r="Q87" s="1">
        <v>56.909722222222221</v>
      </c>
      <c r="R87" s="1">
        <v>56.909722222222221</v>
      </c>
      <c r="S87" s="1">
        <v>428830</v>
      </c>
      <c r="T87" s="1">
        <v>6307959</v>
      </c>
      <c r="U87" s="2" t="s">
        <v>122</v>
      </c>
      <c r="V87" s="2" t="s">
        <v>119</v>
      </c>
    </row>
    <row r="88" spans="1:25" x14ac:dyDescent="0.25">
      <c r="A88" s="1" t="s">
        <v>48</v>
      </c>
      <c r="B88" s="2" t="s">
        <v>21</v>
      </c>
      <c r="C88" s="2" t="s">
        <v>22</v>
      </c>
      <c r="D88" s="1" t="s">
        <v>3</v>
      </c>
      <c r="E88" s="1" t="s">
        <v>148</v>
      </c>
      <c r="F88" s="1" t="s">
        <v>12</v>
      </c>
      <c r="G88" s="1" t="str">
        <f>IF('Working table'!$F32=$X$2,$Y$2,IF('Working table'!$F32=$X$3,$Y$3,IF('Working table'!$F32=$X$4,$Y$4,IF('Working table'!$F32=$X$5,$Y$5,$Y$6))))</f>
        <v>Ttn</v>
      </c>
      <c r="H88" s="1">
        <v>1797</v>
      </c>
      <c r="I88" s="4">
        <v>2</v>
      </c>
      <c r="J88" s="4" t="s">
        <v>312</v>
      </c>
      <c r="K88" s="1" t="str">
        <f>H88 &amp; " " &amp; J88</f>
        <v>1797 ±2</v>
      </c>
      <c r="L88" s="1" t="str">
        <f>H88&amp;" "&amp;J88&amp;" "&amp;"("&amp;G88&amp;")"</f>
        <v>1797 ±2 (Ttn)</v>
      </c>
      <c r="M88" s="5" t="s">
        <v>5</v>
      </c>
      <c r="N88" s="1" t="s">
        <v>149</v>
      </c>
      <c r="P88" s="5" t="s">
        <v>98</v>
      </c>
      <c r="Q88" s="1">
        <v>56.909722222222221</v>
      </c>
      <c r="R88" s="1">
        <v>56.909722222222221</v>
      </c>
      <c r="S88" s="1">
        <v>428830</v>
      </c>
      <c r="T88" s="1">
        <v>6307959</v>
      </c>
      <c r="U88" s="2" t="s">
        <v>122</v>
      </c>
      <c r="V88" s="2" t="s">
        <v>119</v>
      </c>
    </row>
    <row r="89" spans="1:25" x14ac:dyDescent="0.25">
      <c r="A89" s="1" t="s">
        <v>48</v>
      </c>
      <c r="B89" s="2" t="s">
        <v>21</v>
      </c>
      <c r="C89" s="2" t="s">
        <v>22</v>
      </c>
      <c r="D89" s="1" t="s">
        <v>3</v>
      </c>
      <c r="E89" s="1" t="s">
        <v>148</v>
      </c>
      <c r="F89" s="1" t="s">
        <v>12</v>
      </c>
      <c r="G89" s="1" t="str">
        <f>IF('Working table'!$F33=$X$2,$Y$2,IF('Working table'!$F33=$X$3,$Y$3,IF('Working table'!$F33=$X$4,$Y$4,IF('Working table'!$F33=$X$5,$Y$5,$Y$6))))</f>
        <v>Ttn</v>
      </c>
      <c r="H89" s="1">
        <v>1791</v>
      </c>
      <c r="I89" s="4">
        <v>2</v>
      </c>
      <c r="J89" s="4" t="s">
        <v>312</v>
      </c>
      <c r="K89" s="1" t="str">
        <f>H89 &amp; " " &amp; J89</f>
        <v>1791 ±2</v>
      </c>
      <c r="L89" s="1" t="str">
        <f>H89&amp;" "&amp;J89&amp;" "&amp;"("&amp;G89&amp;")"</f>
        <v>1791 ±2 (Ttn)</v>
      </c>
      <c r="M89" s="5" t="s">
        <v>5</v>
      </c>
      <c r="N89" s="1" t="s">
        <v>149</v>
      </c>
      <c r="P89" s="5" t="s">
        <v>98</v>
      </c>
      <c r="Q89" s="1">
        <v>56.909722222222221</v>
      </c>
      <c r="R89" s="1">
        <v>56.909722222222221</v>
      </c>
      <c r="S89" s="1">
        <v>428830</v>
      </c>
      <c r="T89" s="1">
        <v>6307959</v>
      </c>
      <c r="U89" s="2" t="s">
        <v>122</v>
      </c>
      <c r="V89" s="2" t="s">
        <v>119</v>
      </c>
    </row>
    <row r="90" spans="1:25" x14ac:dyDescent="0.25">
      <c r="A90" s="1" t="s">
        <v>90</v>
      </c>
      <c r="B90" s="2" t="s">
        <v>85</v>
      </c>
      <c r="C90" s="2" t="s">
        <v>55</v>
      </c>
      <c r="D90" s="1" t="s">
        <v>3</v>
      </c>
      <c r="E90" s="1" t="s">
        <v>148</v>
      </c>
      <c r="F90" s="1" t="s">
        <v>8</v>
      </c>
      <c r="G90" s="1" t="str">
        <f>IF('Working table'!$F17=$X$2,$Y$2,IF('Working table'!$F17=$X$3,$Y$3,IF('Working table'!$F17=$X$4,$Y$4,IF('Working table'!$F17=$X$5,$Y$5,$Y$6))))</f>
        <v>Xtm</v>
      </c>
      <c r="H90" s="1">
        <v>2689</v>
      </c>
      <c r="I90" s="4" t="s">
        <v>183</v>
      </c>
      <c r="J90" s="1" t="s">
        <v>318</v>
      </c>
      <c r="K90" s="1" t="str">
        <f>H90 &amp; " " &amp; J90</f>
        <v>2689 ±19</v>
      </c>
      <c r="L90" s="1" t="str">
        <f>H90&amp;" "&amp;J90&amp;" "&amp;"("&amp;G90&amp;")"</f>
        <v>2689 ±19 (Xtm)</v>
      </c>
      <c r="M90" s="5" t="s">
        <v>47</v>
      </c>
      <c r="N90" s="1" t="s">
        <v>149</v>
      </c>
      <c r="P90" s="5" t="s">
        <v>121</v>
      </c>
      <c r="Q90" s="1">
        <v>58.077777777777783</v>
      </c>
      <c r="R90" s="1">
        <v>58.077777777777783</v>
      </c>
      <c r="S90" s="1">
        <v>586788</v>
      </c>
      <c r="T90" s="1">
        <v>6438323</v>
      </c>
      <c r="U90" s="2" t="s">
        <v>118</v>
      </c>
      <c r="V90" s="2" t="s">
        <v>120</v>
      </c>
    </row>
    <row r="91" spans="1:25" x14ac:dyDescent="0.25">
      <c r="A91" s="1" t="s">
        <v>90</v>
      </c>
      <c r="B91" s="2" t="s">
        <v>85</v>
      </c>
      <c r="C91" s="2" t="s">
        <v>55</v>
      </c>
      <c r="D91" s="1" t="s">
        <v>3</v>
      </c>
      <c r="E91" s="1" t="s">
        <v>148</v>
      </c>
      <c r="F91" s="1" t="s">
        <v>4</v>
      </c>
      <c r="G91" s="1" t="str">
        <f>IF('Working table'!$F18=$X$2,$Y$2,IF('Working table'!$F18=$X$3,$Y$3,IF('Working table'!$F18=$X$4,$Y$4,IF('Working table'!$F18=$X$5,$Y$5,$Y$6))))</f>
        <v>Xtm</v>
      </c>
      <c r="H91" s="1">
        <v>1778</v>
      </c>
      <c r="I91" s="4">
        <v>2</v>
      </c>
      <c r="J91" s="4" t="s">
        <v>312</v>
      </c>
      <c r="K91" s="1" t="str">
        <f>H91 &amp; " " &amp; J91</f>
        <v>1778 ±2</v>
      </c>
      <c r="L91" s="1" t="str">
        <f>H91&amp;" "&amp;J91&amp;" "&amp;"("&amp;G91&amp;")"</f>
        <v>1778 ±2 (Xtm)</v>
      </c>
      <c r="M91" s="5" t="s">
        <v>5</v>
      </c>
      <c r="N91" s="1" t="s">
        <v>149</v>
      </c>
      <c r="P91" s="5" t="s">
        <v>121</v>
      </c>
      <c r="Q91" s="1">
        <v>58.077777777777783</v>
      </c>
      <c r="R91" s="1">
        <v>58.077777777777783</v>
      </c>
      <c r="S91" s="1">
        <v>586788</v>
      </c>
      <c r="T91" s="1">
        <v>6438323</v>
      </c>
      <c r="U91" s="2" t="s">
        <v>118</v>
      </c>
      <c r="V91" s="2" t="s">
        <v>120</v>
      </c>
    </row>
    <row r="92" spans="1:25" x14ac:dyDescent="0.25">
      <c r="A92" s="1" t="s">
        <v>90</v>
      </c>
      <c r="B92" s="2" t="s">
        <v>85</v>
      </c>
      <c r="C92" s="2" t="s">
        <v>55</v>
      </c>
      <c r="D92" s="1" t="s">
        <v>3</v>
      </c>
      <c r="E92" s="1" t="s">
        <v>148</v>
      </c>
      <c r="F92" s="1" t="s">
        <v>8</v>
      </c>
      <c r="G92" s="1" t="str">
        <f>IF('Working table'!$F19=$X$2,$Y$2,IF('Working table'!$F19=$X$3,$Y$3,IF('Working table'!$F19=$X$4,$Y$4,IF('Working table'!$F19=$X$5,$Y$5,$Y$6))))</f>
        <v>Xtm</v>
      </c>
      <c r="H92" s="1">
        <v>2566</v>
      </c>
      <c r="I92" s="4" t="s">
        <v>182</v>
      </c>
      <c r="J92" s="1" t="s">
        <v>319</v>
      </c>
      <c r="K92" s="1" t="str">
        <f>H92 &amp; " " &amp; J92</f>
        <v>2566 ±23</v>
      </c>
      <c r="L92" s="1" t="str">
        <f>H92&amp;" "&amp;J92&amp;" "&amp;"("&amp;G92&amp;")"</f>
        <v>2566 ±23 (Xtm)</v>
      </c>
      <c r="M92" s="5" t="s">
        <v>5</v>
      </c>
      <c r="N92" s="1" t="s">
        <v>149</v>
      </c>
      <c r="P92" s="5" t="s">
        <v>121</v>
      </c>
      <c r="Q92" s="1">
        <v>58.077777777777783</v>
      </c>
      <c r="R92" s="1">
        <v>58.077777777777783</v>
      </c>
      <c r="S92" s="1">
        <v>586788</v>
      </c>
      <c r="T92" s="1">
        <v>6438323</v>
      </c>
      <c r="U92" s="2" t="s">
        <v>118</v>
      </c>
      <c r="V92" s="2" t="s">
        <v>120</v>
      </c>
    </row>
    <row r="93" spans="1:25" x14ac:dyDescent="0.25">
      <c r="B93" t="s">
        <v>302</v>
      </c>
      <c r="C93" t="s">
        <v>55</v>
      </c>
      <c r="D93" s="1" t="s">
        <v>3</v>
      </c>
      <c r="E93" s="1" t="s">
        <v>135</v>
      </c>
      <c r="F93" s="1" t="s">
        <v>8</v>
      </c>
      <c r="G93" s="1" t="str">
        <f>IF('Working table'!$F52=$X$2,$Y$2,IF('Working table'!$F52=$X$3,$Y$3,IF('Working table'!$F52=$X$4,$Y$4,IF('Working table'!$F52=$X$5,$Y$5,$Y$6))))</f>
        <v>Xtm</v>
      </c>
      <c r="H93" s="7">
        <v>2714</v>
      </c>
      <c r="I93" s="4">
        <v>12</v>
      </c>
      <c r="J93" s="4" t="s">
        <v>326</v>
      </c>
      <c r="K93" s="1" t="str">
        <f>H93 &amp; " " &amp; J93</f>
        <v>2714 ±12</v>
      </c>
      <c r="L93" s="1" t="str">
        <f>H93&amp;" "&amp;J93&amp;" "&amp;"("&amp;G93&amp;")"</f>
        <v>2714 ±12 (Xtm)</v>
      </c>
      <c r="M93" s="5" t="s">
        <v>47</v>
      </c>
      <c r="N93" s="1" t="s">
        <v>104</v>
      </c>
      <c r="O93" s="1" t="s">
        <v>222</v>
      </c>
      <c r="P93" s="5" t="s">
        <v>110</v>
      </c>
      <c r="Q93" t="s">
        <v>278</v>
      </c>
      <c r="R93" t="s">
        <v>278</v>
      </c>
      <c r="S93"/>
      <c r="T93"/>
      <c r="U93" s="2" t="s">
        <v>141</v>
      </c>
    </row>
    <row r="94" spans="1:25" x14ac:dyDescent="0.25">
      <c r="B94" t="s">
        <v>302</v>
      </c>
      <c r="C94" t="s">
        <v>55</v>
      </c>
      <c r="D94" s="1" t="s">
        <v>3</v>
      </c>
      <c r="E94" s="1" t="s">
        <v>135</v>
      </c>
      <c r="F94" s="1" t="s">
        <v>12</v>
      </c>
      <c r="G94" s="1" t="str">
        <f>IF('Working table'!$F53=$X$2,$Y$2,IF('Working table'!$F53=$X$3,$Y$3,IF('Working table'!$F53=$X$4,$Y$4,IF('Working table'!$F53=$X$5,$Y$5,$Y$6))))</f>
        <v>Ttn</v>
      </c>
      <c r="H94" s="7">
        <v>1805.5</v>
      </c>
      <c r="I94" s="4">
        <v>1.4</v>
      </c>
      <c r="J94" s="4" t="s">
        <v>327</v>
      </c>
      <c r="K94" s="1" t="str">
        <f>H94 &amp; " " &amp; J94</f>
        <v>1805.5 ±1.4</v>
      </c>
      <c r="L94" s="1" t="str">
        <f>H94&amp;" "&amp;J94&amp;" "&amp;"("&amp;G94&amp;")"</f>
        <v>1805.5 ±1.4 (Ttn)</v>
      </c>
      <c r="M94" s="5" t="s">
        <v>5</v>
      </c>
      <c r="N94" s="1" t="s">
        <v>104</v>
      </c>
      <c r="O94" s="1" t="s">
        <v>222</v>
      </c>
      <c r="P94" s="5" t="s">
        <v>110</v>
      </c>
      <c r="Q94" t="s">
        <v>278</v>
      </c>
      <c r="R94" t="s">
        <v>278</v>
      </c>
      <c r="S94"/>
      <c r="T94"/>
      <c r="U94" s="2" t="s">
        <v>141</v>
      </c>
    </row>
    <row r="95" spans="1:25" x14ac:dyDescent="0.25">
      <c r="A95" s="1" t="s">
        <v>90</v>
      </c>
      <c r="B95" s="2" t="s">
        <v>56</v>
      </c>
      <c r="C95" s="2" t="s">
        <v>55</v>
      </c>
      <c r="D95" s="1" t="s">
        <v>3</v>
      </c>
      <c r="E95" s="1" t="s">
        <v>148</v>
      </c>
      <c r="F95" s="1" t="s">
        <v>8</v>
      </c>
      <c r="G95" s="1" t="str">
        <f>IF('Working table'!$F75=$X$2,$Y$2,IF('Working table'!$F75=$X$3,$Y$3,IF('Working table'!$F75=$X$4,$Y$4,IF('Working table'!$F75=$X$5,$Y$5,$Y$6))))</f>
        <v>Xtm</v>
      </c>
      <c r="H95" s="1">
        <v>2717</v>
      </c>
      <c r="I95" s="4" t="s">
        <v>173</v>
      </c>
      <c r="J95" s="1" t="s">
        <v>326</v>
      </c>
      <c r="K95" s="1" t="str">
        <f>H95 &amp; " " &amp; J95</f>
        <v>2717 ±12</v>
      </c>
      <c r="L95" s="1" t="str">
        <f>H95&amp;" "&amp;J95&amp;" "&amp;"("&amp;G95&amp;")"</f>
        <v>2717 ±12 (Xtm)</v>
      </c>
      <c r="M95" s="5" t="s">
        <v>47</v>
      </c>
      <c r="N95" s="1" t="s">
        <v>104</v>
      </c>
      <c r="P95" s="5" t="s">
        <v>176</v>
      </c>
      <c r="Q95" s="1">
        <v>58.256944444444443</v>
      </c>
      <c r="R95" s="1">
        <v>58.256944444444443</v>
      </c>
      <c r="S95" s="1">
        <v>570290</v>
      </c>
      <c r="T95" s="1">
        <v>6457950</v>
      </c>
      <c r="U95" s="2" t="s">
        <v>122</v>
      </c>
    </row>
    <row r="96" spans="1:25" x14ac:dyDescent="0.25">
      <c r="A96" s="1" t="s">
        <v>90</v>
      </c>
      <c r="B96" s="2" t="s">
        <v>56</v>
      </c>
      <c r="C96" s="2" t="s">
        <v>55</v>
      </c>
      <c r="D96" s="1" t="s">
        <v>3</v>
      </c>
      <c r="E96" s="1" t="s">
        <v>148</v>
      </c>
      <c r="F96" s="1" t="s">
        <v>12</v>
      </c>
      <c r="G96" s="1" t="str">
        <f>IF('Working table'!$F76=$X$2,$Y$2,IF('Working table'!$F76=$X$3,$Y$3,IF('Working table'!$F76=$X$4,$Y$4,IF('Working table'!$F76=$X$5,$Y$5,$Y$6))))</f>
        <v>Xtm</v>
      </c>
      <c r="H96" s="1">
        <v>1802</v>
      </c>
      <c r="I96" s="4">
        <v>2</v>
      </c>
      <c r="J96" s="4" t="s">
        <v>312</v>
      </c>
      <c r="K96" s="1" t="str">
        <f>H96 &amp; " " &amp; J96</f>
        <v>1802 ±2</v>
      </c>
      <c r="L96" s="1" t="str">
        <f>H96&amp;" "&amp;J96&amp;" "&amp;"("&amp;G96&amp;")"</f>
        <v>1802 ±2 (Xtm)</v>
      </c>
      <c r="M96" s="5" t="s">
        <v>5</v>
      </c>
      <c r="N96" s="1" t="s">
        <v>104</v>
      </c>
      <c r="P96" s="5" t="s">
        <v>176</v>
      </c>
      <c r="Q96" s="1">
        <v>58.256944444444443</v>
      </c>
      <c r="R96" s="1">
        <v>58.256944444444443</v>
      </c>
      <c r="S96" s="1">
        <v>570290</v>
      </c>
      <c r="T96" s="1">
        <v>6457950</v>
      </c>
      <c r="U96" s="2" t="s">
        <v>122</v>
      </c>
    </row>
    <row r="97" spans="1:22" x14ac:dyDescent="0.25">
      <c r="A97" s="1" t="s">
        <v>90</v>
      </c>
      <c r="B97" s="2" t="s">
        <v>54</v>
      </c>
      <c r="C97" s="2" t="s">
        <v>55</v>
      </c>
      <c r="D97" s="1" t="s">
        <v>3</v>
      </c>
      <c r="E97" s="1" t="s">
        <v>148</v>
      </c>
      <c r="F97" s="1" t="s">
        <v>8</v>
      </c>
      <c r="G97" s="1" t="str">
        <f>IF('Working table'!$F79=$X$2,$Y$2,IF('Working table'!$F79=$X$3,$Y$3,IF('Working table'!$F79=$X$4,$Y$4,IF('Working table'!$F79=$X$5,$Y$5,$Y$6))))</f>
        <v>Ttn</v>
      </c>
      <c r="H97" s="1">
        <v>2706</v>
      </c>
      <c r="I97" s="4">
        <v>5</v>
      </c>
      <c r="J97" s="4" t="s">
        <v>321</v>
      </c>
      <c r="K97" s="1" t="str">
        <f>H97 &amp; " " &amp; J97</f>
        <v>2706 ±5</v>
      </c>
      <c r="L97" s="1" t="str">
        <f>H97&amp;" "&amp;J97&amp;" "&amp;"("&amp;G97&amp;")"</f>
        <v>2706 ±5 (Ttn)</v>
      </c>
      <c r="M97" s="5" t="s">
        <v>47</v>
      </c>
      <c r="N97" s="1" t="s">
        <v>104</v>
      </c>
      <c r="P97" s="5" t="s">
        <v>176</v>
      </c>
      <c r="Q97" s="1">
        <v>58.262500000000003</v>
      </c>
      <c r="R97" s="1">
        <v>58.262500000000003</v>
      </c>
      <c r="S97" s="1">
        <v>570466</v>
      </c>
      <c r="T97" s="1">
        <v>6458556</v>
      </c>
      <c r="U97" s="2" t="s">
        <v>122</v>
      </c>
      <c r="V97" s="2" t="s">
        <v>129</v>
      </c>
    </row>
    <row r="98" spans="1:22" x14ac:dyDescent="0.25">
      <c r="A98" s="1" t="s">
        <v>90</v>
      </c>
      <c r="B98" s="2" t="s">
        <v>54</v>
      </c>
      <c r="C98" s="2" t="s">
        <v>55</v>
      </c>
      <c r="D98" s="1" t="s">
        <v>3</v>
      </c>
      <c r="E98" s="1" t="s">
        <v>148</v>
      </c>
      <c r="F98" s="1" t="s">
        <v>12</v>
      </c>
      <c r="G98" s="1" t="str">
        <f>IF('Working table'!$F80=$X$2,$Y$2,IF('Working table'!$F80=$X$3,$Y$3,IF('Working table'!$F80=$X$4,$Y$4,IF('Working table'!$F80=$X$5,$Y$5,$Y$6))))</f>
        <v>Xtm</v>
      </c>
      <c r="H98" s="1">
        <v>1804</v>
      </c>
      <c r="I98" s="4">
        <v>8</v>
      </c>
      <c r="J98" s="4" t="s">
        <v>329</v>
      </c>
      <c r="K98" s="1" t="str">
        <f>H98 &amp; " " &amp; J98</f>
        <v>1804 ±8</v>
      </c>
      <c r="L98" s="1" t="str">
        <f>H98&amp;" "&amp;J98&amp;" "&amp;"("&amp;G98&amp;")"</f>
        <v>1804 ±8 (Xtm)</v>
      </c>
      <c r="M98" s="5" t="s">
        <v>5</v>
      </c>
      <c r="N98" s="1" t="s">
        <v>104</v>
      </c>
      <c r="P98" s="5" t="s">
        <v>176</v>
      </c>
      <c r="Q98" s="1">
        <v>58.262500000000003</v>
      </c>
      <c r="R98" s="1">
        <v>58.262500000000003</v>
      </c>
      <c r="S98" s="1">
        <v>570466</v>
      </c>
      <c r="T98" s="1">
        <v>6458556</v>
      </c>
      <c r="U98" s="2" t="s">
        <v>122</v>
      </c>
      <c r="V98" s="2" t="s">
        <v>129</v>
      </c>
    </row>
    <row r="99" spans="1:22" x14ac:dyDescent="0.25">
      <c r="B99" s="2" t="s">
        <v>291</v>
      </c>
      <c r="C99" s="2" t="s">
        <v>273</v>
      </c>
      <c r="D99" s="1" t="s">
        <v>3</v>
      </c>
      <c r="E99" s="1" t="s">
        <v>257</v>
      </c>
      <c r="F99" s="1" t="s">
        <v>241</v>
      </c>
      <c r="G99" s="1" t="str">
        <f>IF('Working table'!$F97=$X$2,$Y$2,IF('Working table'!$F97=$X$3,$Y$3,IF('Working table'!$F97=$X$4,$Y$4,IF('Working table'!$F97=$X$5,$Y$5,$Y$6))))</f>
        <v>Xtm</v>
      </c>
      <c r="H99" s="1">
        <v>1774</v>
      </c>
      <c r="I99" s="4" t="s">
        <v>261</v>
      </c>
      <c r="J99" s="4" t="s">
        <v>315</v>
      </c>
      <c r="K99" s="1" t="str">
        <f>H99 &amp; " " &amp; J99</f>
        <v>1774 ±9</v>
      </c>
      <c r="L99" s="1" t="str">
        <f>H99&amp;" "&amp;J99&amp;" "&amp;"("&amp;G99&amp;")"</f>
        <v>1774 ±9 (Xtm)</v>
      </c>
      <c r="M99" s="5" t="s">
        <v>5</v>
      </c>
      <c r="P99" s="5" t="s">
        <v>258</v>
      </c>
      <c r="Q99" s="1" t="s">
        <v>278</v>
      </c>
      <c r="R99" s="1" t="s">
        <v>278</v>
      </c>
      <c r="U99" s="3" t="s">
        <v>256</v>
      </c>
    </row>
    <row r="100" spans="1:22" x14ac:dyDescent="0.25">
      <c r="B100" s="2" t="s">
        <v>292</v>
      </c>
      <c r="C100" s="2" t="s">
        <v>273</v>
      </c>
      <c r="D100" s="1" t="s">
        <v>3</v>
      </c>
      <c r="E100" s="1" t="s">
        <v>257</v>
      </c>
      <c r="F100" s="1" t="s">
        <v>241</v>
      </c>
      <c r="G100" s="1" t="str">
        <f>IF('Working table'!$F98=$X$2,$Y$2,IF('Working table'!$F98=$X$3,$Y$3,IF('Working table'!$F98=$X$4,$Y$4,IF('Working table'!$F98=$X$5,$Y$5,$Y$6))))</f>
        <v>Xtm</v>
      </c>
      <c r="H100" s="1">
        <v>1805</v>
      </c>
      <c r="I100" s="4" t="s">
        <v>310</v>
      </c>
      <c r="J100" s="4" t="s">
        <v>322</v>
      </c>
      <c r="K100" s="1" t="str">
        <f>H100 &amp; " " &amp; J100</f>
        <v>1805 ±11</v>
      </c>
      <c r="L100" s="1" t="str">
        <f>H100&amp;" "&amp;J100&amp;" "&amp;"("&amp;G100&amp;")"</f>
        <v>1805 ±11 (Xtm)</v>
      </c>
      <c r="M100" s="5" t="s">
        <v>47</v>
      </c>
      <c r="P100" s="5" t="s">
        <v>258</v>
      </c>
      <c r="Q100" s="1" t="s">
        <v>278</v>
      </c>
      <c r="R100" s="1" t="s">
        <v>278</v>
      </c>
      <c r="U100" s="3" t="s">
        <v>256</v>
      </c>
    </row>
  </sheetData>
  <autoFilter ref="A1:Y98" xr:uid="{6F679CD3-3E70-4C69-9196-ED72BEF2FA0C}">
    <sortState xmlns:xlrd2="http://schemas.microsoft.com/office/spreadsheetml/2017/richdata2" ref="A2:Y100">
      <sortCondition ref="C1:C98"/>
    </sortState>
  </autoFilter>
  <phoneticPr fontId="1" type="noConversion"/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6731C-363D-495C-ADFE-BCC9D1E055AA}">
  <sheetPr>
    <tabColor theme="5" tint="0.79998168889431442"/>
  </sheetPr>
  <dimension ref="A1:R137"/>
  <sheetViews>
    <sheetView tabSelected="1" zoomScale="80" zoomScaleNormal="80" workbookViewId="0">
      <pane ySplit="1" topLeftCell="A7" activePane="bottomLeft" state="frozen"/>
      <selection pane="bottomLeft" activeCell="Q41" sqref="A41:Q42"/>
    </sheetView>
  </sheetViews>
  <sheetFormatPr defaultColWidth="8.85546875" defaultRowHeight="15" x14ac:dyDescent="0.25"/>
  <cols>
    <col min="1" max="1" width="11.5703125" style="1" bestFit="1" customWidth="1"/>
    <col min="2" max="2" width="13.5703125" style="2" bestFit="1" customWidth="1"/>
    <col min="3" max="3" width="34.5703125" style="2" customWidth="1"/>
    <col min="4" max="4" width="13.5703125" style="1" bestFit="1" customWidth="1"/>
    <col min="5" max="5" width="15.85546875" style="1" bestFit="1" customWidth="1"/>
    <col min="6" max="6" width="13.5703125" style="1" bestFit="1" customWidth="1"/>
    <col min="7" max="7" width="12.28515625" style="1" bestFit="1" customWidth="1"/>
    <col min="8" max="8" width="23.42578125" style="4" bestFit="1" customWidth="1"/>
    <col min="9" max="9" width="40.5703125" style="5" bestFit="1" customWidth="1"/>
    <col min="10" max="10" width="17.7109375" style="1" bestFit="1" customWidth="1"/>
    <col min="11" max="11" width="38.42578125" style="1" bestFit="1" customWidth="1"/>
    <col min="12" max="12" width="54.42578125" style="5" bestFit="1" customWidth="1"/>
    <col min="13" max="13" width="14.85546875" style="1" bestFit="1" customWidth="1"/>
    <col min="14" max="16" width="14.85546875" style="1" customWidth="1"/>
    <col min="17" max="17" width="28.85546875" style="2" bestFit="1" customWidth="1"/>
    <col min="18" max="18" width="25.28515625" style="2" bestFit="1" customWidth="1"/>
    <col min="19" max="19" width="12.42578125" style="1" bestFit="1" customWidth="1"/>
    <col min="20" max="20" width="31.42578125" style="1" bestFit="1" customWidth="1"/>
    <col min="21" max="21" width="25.28515625" style="1" bestFit="1" customWidth="1"/>
    <col min="22" max="16384" width="8.85546875" style="1"/>
  </cols>
  <sheetData>
    <row r="1" spans="1:18" ht="30" x14ac:dyDescent="0.25">
      <c r="A1" s="9" t="s">
        <v>151</v>
      </c>
      <c r="B1" s="9" t="s">
        <v>0</v>
      </c>
      <c r="C1" s="9" t="s">
        <v>92</v>
      </c>
      <c r="D1" s="9" t="s">
        <v>93</v>
      </c>
      <c r="E1" s="9" t="s">
        <v>147</v>
      </c>
      <c r="F1" s="9" t="s">
        <v>94</v>
      </c>
      <c r="G1" s="9" t="s">
        <v>95</v>
      </c>
      <c r="H1" s="14" t="s">
        <v>96</v>
      </c>
      <c r="I1" s="9" t="s">
        <v>91</v>
      </c>
      <c r="J1" s="9" t="s">
        <v>150</v>
      </c>
      <c r="K1" s="9" t="s">
        <v>168</v>
      </c>
      <c r="L1" s="9" t="s">
        <v>152</v>
      </c>
      <c r="M1" s="9" t="s">
        <v>153</v>
      </c>
      <c r="N1" s="9" t="s">
        <v>279</v>
      </c>
      <c r="O1" s="9" t="s">
        <v>154</v>
      </c>
      <c r="P1" s="9" t="s">
        <v>155</v>
      </c>
      <c r="Q1" s="15" t="s">
        <v>275</v>
      </c>
      <c r="R1" s="15" t="s">
        <v>276</v>
      </c>
    </row>
    <row r="2" spans="1:18" hidden="1" x14ac:dyDescent="0.25">
      <c r="A2" s="1" t="s">
        <v>90</v>
      </c>
      <c r="B2" s="2" t="s">
        <v>83</v>
      </c>
      <c r="C2" s="2" t="s">
        <v>84</v>
      </c>
      <c r="D2" s="1" t="s">
        <v>3</v>
      </c>
      <c r="E2" s="1" t="s">
        <v>148</v>
      </c>
      <c r="F2" s="1" t="s">
        <v>8</v>
      </c>
      <c r="G2" s="1">
        <v>2638</v>
      </c>
      <c r="H2" s="4" t="s">
        <v>184</v>
      </c>
      <c r="I2" s="5" t="s">
        <v>47</v>
      </c>
      <c r="J2" s="1" t="s">
        <v>149</v>
      </c>
      <c r="L2" s="5" t="s">
        <v>121</v>
      </c>
      <c r="M2" s="1">
        <v>58.13388888888889</v>
      </c>
      <c r="N2" s="1">
        <v>58.13388888888889</v>
      </c>
      <c r="O2" s="1">
        <v>587482</v>
      </c>
      <c r="P2" s="1">
        <v>6444603</v>
      </c>
      <c r="Q2" s="2" t="s">
        <v>118</v>
      </c>
    </row>
    <row r="3" spans="1:18" hidden="1" x14ac:dyDescent="0.25">
      <c r="A3" s="1" t="s">
        <v>90</v>
      </c>
      <c r="B3" s="2" t="s">
        <v>83</v>
      </c>
      <c r="C3" s="2" t="s">
        <v>84</v>
      </c>
      <c r="D3" s="1" t="s">
        <v>3</v>
      </c>
      <c r="E3" s="1" t="s">
        <v>148</v>
      </c>
      <c r="F3" s="1" t="s">
        <v>4</v>
      </c>
      <c r="G3" s="1">
        <v>1779</v>
      </c>
      <c r="H3" s="4">
        <v>2</v>
      </c>
      <c r="I3" s="5" t="s">
        <v>5</v>
      </c>
      <c r="J3" s="1" t="s">
        <v>149</v>
      </c>
      <c r="L3" s="5" t="s">
        <v>121</v>
      </c>
      <c r="M3" s="1">
        <v>58.13388888888889</v>
      </c>
      <c r="N3" s="1">
        <v>58.13388888888889</v>
      </c>
      <c r="O3" s="1">
        <v>587482</v>
      </c>
      <c r="P3" s="1">
        <v>6444603</v>
      </c>
      <c r="Q3" s="2" t="s">
        <v>118</v>
      </c>
      <c r="R3" s="2" t="s">
        <v>120</v>
      </c>
    </row>
    <row r="4" spans="1:18" hidden="1" x14ac:dyDescent="0.25">
      <c r="A4" s="1" t="s">
        <v>90</v>
      </c>
      <c r="B4" s="2" t="s">
        <v>85</v>
      </c>
      <c r="C4" s="2" t="s">
        <v>55</v>
      </c>
      <c r="D4" s="1" t="s">
        <v>3</v>
      </c>
      <c r="E4" s="1" t="s">
        <v>148</v>
      </c>
      <c r="F4" s="1" t="s">
        <v>8</v>
      </c>
      <c r="G4" s="1">
        <v>2689</v>
      </c>
      <c r="H4" s="4" t="s">
        <v>183</v>
      </c>
      <c r="I4" s="5" t="s">
        <v>47</v>
      </c>
      <c r="J4" s="1" t="s">
        <v>149</v>
      </c>
      <c r="L4" s="5" t="s">
        <v>121</v>
      </c>
      <c r="M4" s="1">
        <v>58.077777777777783</v>
      </c>
      <c r="N4" s="1">
        <v>58.077777777777783</v>
      </c>
      <c r="O4" s="1">
        <v>586788</v>
      </c>
      <c r="P4" s="1">
        <v>6438323</v>
      </c>
      <c r="Q4" s="2" t="s">
        <v>118</v>
      </c>
      <c r="R4" s="2" t="s">
        <v>120</v>
      </c>
    </row>
    <row r="5" spans="1:18" s="9" customFormat="1" hidden="1" x14ac:dyDescent="0.25">
      <c r="A5" s="1" t="s">
        <v>90</v>
      </c>
      <c r="B5" s="2" t="s">
        <v>85</v>
      </c>
      <c r="C5" s="2" t="s">
        <v>55</v>
      </c>
      <c r="D5" s="1" t="s">
        <v>3</v>
      </c>
      <c r="E5" s="1" t="s">
        <v>148</v>
      </c>
      <c r="F5" s="1" t="s">
        <v>4</v>
      </c>
      <c r="G5" s="1">
        <v>1778</v>
      </c>
      <c r="H5" s="4">
        <v>2</v>
      </c>
      <c r="I5" s="5" t="s">
        <v>5</v>
      </c>
      <c r="J5" s="1" t="s">
        <v>149</v>
      </c>
      <c r="K5" s="1"/>
      <c r="L5" s="5" t="s">
        <v>121</v>
      </c>
      <c r="M5" s="1">
        <v>58.077777777777783</v>
      </c>
      <c r="N5" s="1">
        <v>58.077777777777783</v>
      </c>
      <c r="O5" s="1">
        <v>586788</v>
      </c>
      <c r="P5" s="1">
        <v>6438323</v>
      </c>
      <c r="Q5" s="2" t="s">
        <v>118</v>
      </c>
      <c r="R5" s="2" t="s">
        <v>120</v>
      </c>
    </row>
    <row r="6" spans="1:18" hidden="1" x14ac:dyDescent="0.25">
      <c r="A6" s="1" t="s">
        <v>90</v>
      </c>
      <c r="B6" s="2" t="s">
        <v>85</v>
      </c>
      <c r="C6" s="2" t="s">
        <v>55</v>
      </c>
      <c r="D6" s="1" t="s">
        <v>3</v>
      </c>
      <c r="E6" s="1" t="s">
        <v>148</v>
      </c>
      <c r="F6" s="1" t="s">
        <v>8</v>
      </c>
      <c r="G6" s="1">
        <v>2566</v>
      </c>
      <c r="H6" s="4" t="s">
        <v>182</v>
      </c>
      <c r="I6" s="5" t="s">
        <v>5</v>
      </c>
      <c r="J6" s="1" t="s">
        <v>149</v>
      </c>
      <c r="L6" s="5" t="s">
        <v>121</v>
      </c>
      <c r="M6" s="1">
        <v>58.077777777777783</v>
      </c>
      <c r="N6" s="1">
        <v>58.077777777777783</v>
      </c>
      <c r="O6" s="1">
        <v>586788</v>
      </c>
      <c r="P6" s="1">
        <v>6438323</v>
      </c>
      <c r="Q6" s="2" t="s">
        <v>118</v>
      </c>
      <c r="R6" s="2" t="s">
        <v>120</v>
      </c>
    </row>
    <row r="7" spans="1:18" x14ac:dyDescent="0.25">
      <c r="B7" t="s">
        <v>229</v>
      </c>
      <c r="C7" t="s">
        <v>55</v>
      </c>
      <c r="D7" s="1" t="s">
        <v>3</v>
      </c>
      <c r="E7" s="1" t="s">
        <v>135</v>
      </c>
      <c r="F7" s="1" t="s">
        <v>8</v>
      </c>
      <c r="G7" s="7">
        <v>2714</v>
      </c>
      <c r="H7" s="4">
        <v>12</v>
      </c>
      <c r="I7" s="5" t="s">
        <v>47</v>
      </c>
      <c r="J7" s="1" t="s">
        <v>104</v>
      </c>
      <c r="K7" s="1" t="s">
        <v>222</v>
      </c>
      <c r="L7" s="5" t="s">
        <v>110</v>
      </c>
      <c r="M7" t="s">
        <v>278</v>
      </c>
      <c r="N7" t="s">
        <v>278</v>
      </c>
      <c r="O7"/>
      <c r="P7"/>
      <c r="Q7" s="2" t="s">
        <v>141</v>
      </c>
    </row>
    <row r="8" spans="1:18" x14ac:dyDescent="0.25">
      <c r="B8" t="s">
        <v>229</v>
      </c>
      <c r="C8" t="s">
        <v>55</v>
      </c>
      <c r="D8" s="1" t="s">
        <v>3</v>
      </c>
      <c r="E8" s="1" t="s">
        <v>135</v>
      </c>
      <c r="F8" s="1" t="s">
        <v>12</v>
      </c>
      <c r="G8" s="7">
        <v>1805.5</v>
      </c>
      <c r="H8" s="4">
        <v>1.4</v>
      </c>
      <c r="I8" s="5" t="s">
        <v>238</v>
      </c>
      <c r="J8" s="1" t="s">
        <v>104</v>
      </c>
      <c r="K8" s="1" t="s">
        <v>222</v>
      </c>
      <c r="L8" s="5" t="s">
        <v>110</v>
      </c>
      <c r="M8" t="s">
        <v>278</v>
      </c>
      <c r="N8" t="s">
        <v>278</v>
      </c>
      <c r="O8"/>
      <c r="P8"/>
      <c r="Q8" s="2" t="s">
        <v>141</v>
      </c>
    </row>
    <row r="9" spans="1:18" hidden="1" x14ac:dyDescent="0.25">
      <c r="A9" s="1" t="s">
        <v>90</v>
      </c>
      <c r="B9" s="2">
        <v>230</v>
      </c>
      <c r="C9" s="2" t="s">
        <v>28</v>
      </c>
      <c r="D9" s="1" t="s">
        <v>3</v>
      </c>
      <c r="E9" s="1" t="s">
        <v>148</v>
      </c>
      <c r="F9" s="1" t="s">
        <v>8</v>
      </c>
      <c r="G9" s="1">
        <v>1923</v>
      </c>
      <c r="H9" s="10" t="s">
        <v>178</v>
      </c>
      <c r="I9" s="5" t="s">
        <v>162</v>
      </c>
      <c r="J9" s="1" t="s">
        <v>104</v>
      </c>
      <c r="L9" s="5" t="s">
        <v>105</v>
      </c>
      <c r="M9" s="1">
        <v>58.30361111111111</v>
      </c>
      <c r="N9" s="1">
        <v>58.30361111111111</v>
      </c>
      <c r="O9" s="1">
        <v>560734</v>
      </c>
      <c r="P9" s="1">
        <v>6462976</v>
      </c>
      <c r="Q9" s="2" t="s">
        <v>122</v>
      </c>
    </row>
    <row r="10" spans="1:18" hidden="1" x14ac:dyDescent="0.25">
      <c r="A10" s="1" t="s">
        <v>90</v>
      </c>
      <c r="B10" s="2">
        <v>230</v>
      </c>
      <c r="C10" s="2" t="s">
        <v>28</v>
      </c>
      <c r="D10" s="1" t="s">
        <v>3</v>
      </c>
      <c r="E10" s="1" t="s">
        <v>148</v>
      </c>
      <c r="F10" s="1" t="s">
        <v>8</v>
      </c>
      <c r="G10" s="1">
        <v>1127</v>
      </c>
      <c r="H10" s="10" t="s">
        <v>179</v>
      </c>
      <c r="I10" s="5" t="s">
        <v>180</v>
      </c>
      <c r="J10" s="1" t="s">
        <v>104</v>
      </c>
      <c r="L10" s="5" t="s">
        <v>105</v>
      </c>
      <c r="M10" s="1">
        <v>58.30361111111111</v>
      </c>
      <c r="N10" s="1">
        <v>58.30361111111111</v>
      </c>
      <c r="O10" s="1">
        <v>560734</v>
      </c>
      <c r="P10" s="1">
        <v>6462976</v>
      </c>
      <c r="Q10" s="2" t="s">
        <v>122</v>
      </c>
    </row>
    <row r="11" spans="1:18" hidden="1" x14ac:dyDescent="0.25">
      <c r="A11" s="1" t="s">
        <v>90</v>
      </c>
      <c r="B11" s="2">
        <v>230</v>
      </c>
      <c r="C11" s="2" t="s">
        <v>28</v>
      </c>
      <c r="D11" s="1" t="s">
        <v>3</v>
      </c>
      <c r="E11" s="1" t="s">
        <v>148</v>
      </c>
      <c r="F11" s="1" t="s">
        <v>12</v>
      </c>
      <c r="G11" s="1">
        <v>1766</v>
      </c>
      <c r="H11" s="4">
        <v>1</v>
      </c>
      <c r="I11" s="5" t="s">
        <v>5</v>
      </c>
      <c r="J11" s="1" t="s">
        <v>104</v>
      </c>
      <c r="L11" s="5" t="s">
        <v>105</v>
      </c>
      <c r="M11" s="1">
        <v>58.30361111111111</v>
      </c>
      <c r="N11" s="1">
        <v>58.30361111111111</v>
      </c>
      <c r="O11" s="1">
        <v>560734</v>
      </c>
      <c r="P11" s="1">
        <v>6462976</v>
      </c>
      <c r="Q11" s="2" t="s">
        <v>122</v>
      </c>
    </row>
    <row r="12" spans="1:18" hidden="1" x14ac:dyDescent="0.25">
      <c r="A12" s="1" t="s">
        <v>90</v>
      </c>
      <c r="B12" s="2">
        <v>230</v>
      </c>
      <c r="C12" s="2" t="s">
        <v>28</v>
      </c>
      <c r="D12" s="1" t="s">
        <v>3</v>
      </c>
      <c r="E12" s="1" t="s">
        <v>148</v>
      </c>
      <c r="F12" s="1" t="s">
        <v>123</v>
      </c>
      <c r="G12" s="1">
        <v>1767</v>
      </c>
      <c r="H12" s="4">
        <v>2</v>
      </c>
      <c r="I12" s="5" t="s">
        <v>5</v>
      </c>
      <c r="J12" s="1" t="s">
        <v>104</v>
      </c>
      <c r="L12" s="5" t="s">
        <v>105</v>
      </c>
      <c r="M12" s="1">
        <v>58.30361111111111</v>
      </c>
      <c r="N12" s="1">
        <v>58.30361111111111</v>
      </c>
      <c r="O12" s="1">
        <v>560734</v>
      </c>
      <c r="P12" s="1">
        <v>6462976</v>
      </c>
      <c r="Q12" s="2" t="s">
        <v>122</v>
      </c>
    </row>
    <row r="13" spans="1:18" hidden="1" x14ac:dyDescent="0.25">
      <c r="A13" s="1" t="s">
        <v>90</v>
      </c>
      <c r="B13" s="2" t="s">
        <v>59</v>
      </c>
      <c r="C13" s="2" t="s">
        <v>60</v>
      </c>
      <c r="D13" s="1" t="s">
        <v>3</v>
      </c>
      <c r="E13" s="1" t="s">
        <v>148</v>
      </c>
      <c r="F13" s="1" t="s">
        <v>8</v>
      </c>
      <c r="G13" s="1" t="s">
        <v>166</v>
      </c>
      <c r="I13" s="5" t="s">
        <v>167</v>
      </c>
      <c r="J13" s="1" t="s">
        <v>104</v>
      </c>
      <c r="L13" s="5" t="s">
        <v>106</v>
      </c>
      <c r="M13" s="1">
        <v>-103.59527777777777</v>
      </c>
      <c r="N13" s="1">
        <v>58.295555555555552</v>
      </c>
      <c r="O13" s="1">
        <v>582340</v>
      </c>
      <c r="P13" s="1">
        <v>6462485</v>
      </c>
      <c r="Q13" s="2" t="s">
        <v>122</v>
      </c>
    </row>
    <row r="14" spans="1:18" hidden="1" x14ac:dyDescent="0.25">
      <c r="A14" s="1" t="s">
        <v>90</v>
      </c>
      <c r="B14" s="2" t="s">
        <v>59</v>
      </c>
      <c r="C14" s="2" t="s">
        <v>60</v>
      </c>
      <c r="D14" s="1" t="s">
        <v>3</v>
      </c>
      <c r="E14" s="1" t="s">
        <v>148</v>
      </c>
      <c r="F14" s="1" t="s">
        <v>12</v>
      </c>
      <c r="G14" s="1">
        <v>1803</v>
      </c>
      <c r="H14" s="4">
        <v>4</v>
      </c>
      <c r="I14" s="5" t="s">
        <v>5</v>
      </c>
      <c r="J14" s="1" t="s">
        <v>104</v>
      </c>
      <c r="L14" s="5" t="s">
        <v>106</v>
      </c>
      <c r="M14" s="1">
        <v>-103.59527777777777</v>
      </c>
      <c r="N14" s="1">
        <v>58.295555555555552</v>
      </c>
      <c r="O14" s="1">
        <v>582340</v>
      </c>
      <c r="P14" s="1">
        <v>6462485</v>
      </c>
      <c r="Q14" s="2" t="s">
        <v>122</v>
      </c>
    </row>
    <row r="15" spans="1:18" hidden="1" x14ac:dyDescent="0.25">
      <c r="A15" s="1" t="s">
        <v>90</v>
      </c>
      <c r="B15" s="2" t="s">
        <v>61</v>
      </c>
      <c r="C15" s="2" t="s">
        <v>60</v>
      </c>
      <c r="D15" s="1" t="s">
        <v>3</v>
      </c>
      <c r="E15" s="1" t="s">
        <v>148</v>
      </c>
      <c r="F15" s="1" t="s">
        <v>12</v>
      </c>
      <c r="G15" s="1">
        <v>1813</v>
      </c>
      <c r="H15" s="4">
        <v>2</v>
      </c>
      <c r="I15" s="5" t="s">
        <v>5</v>
      </c>
      <c r="J15" s="1" t="s">
        <v>104</v>
      </c>
      <c r="L15" s="5" t="s">
        <v>106</v>
      </c>
      <c r="M15" s="1">
        <v>-103.59666666666666</v>
      </c>
      <c r="N15" s="1">
        <v>58.294444444444444</v>
      </c>
      <c r="O15" s="1">
        <v>582263</v>
      </c>
      <c r="P15" s="1">
        <v>6462356</v>
      </c>
      <c r="Q15" s="2" t="s">
        <v>122</v>
      </c>
    </row>
    <row r="16" spans="1:18" hidden="1" x14ac:dyDescent="0.25">
      <c r="A16" s="1" t="s">
        <v>90</v>
      </c>
      <c r="B16" s="2" t="s">
        <v>82</v>
      </c>
      <c r="C16" s="2" t="s">
        <v>43</v>
      </c>
      <c r="D16" s="1" t="s">
        <v>3</v>
      </c>
      <c r="E16" s="1" t="s">
        <v>148</v>
      </c>
      <c r="F16" s="1" t="s">
        <v>8</v>
      </c>
      <c r="G16" s="1">
        <v>2626</v>
      </c>
      <c r="H16" s="4" t="s">
        <v>163</v>
      </c>
      <c r="I16" s="5" t="s">
        <v>162</v>
      </c>
      <c r="J16" s="1" t="s">
        <v>149</v>
      </c>
      <c r="L16" s="5" t="s">
        <v>103</v>
      </c>
      <c r="M16" s="1">
        <v>-103.60527777777777</v>
      </c>
      <c r="N16" s="1">
        <v>58.151111111111106</v>
      </c>
      <c r="O16" s="1">
        <v>582082</v>
      </c>
      <c r="P16" s="1">
        <v>6446396</v>
      </c>
      <c r="Q16" s="2" t="s">
        <v>122</v>
      </c>
    </row>
    <row r="17" spans="1:18" hidden="1" x14ac:dyDescent="0.25">
      <c r="A17" s="1" t="s">
        <v>90</v>
      </c>
      <c r="B17" s="2" t="s">
        <v>82</v>
      </c>
      <c r="C17" s="2" t="s">
        <v>43</v>
      </c>
      <c r="D17" s="1" t="s">
        <v>3</v>
      </c>
      <c r="E17" s="1" t="s">
        <v>148</v>
      </c>
      <c r="F17" s="1" t="s">
        <v>8</v>
      </c>
      <c r="G17" s="1">
        <v>1837</v>
      </c>
      <c r="H17" s="4" t="s">
        <v>164</v>
      </c>
      <c r="I17" s="5" t="s">
        <v>165</v>
      </c>
      <c r="J17" s="1" t="s">
        <v>149</v>
      </c>
      <c r="L17" s="5" t="s">
        <v>103</v>
      </c>
      <c r="M17" s="1">
        <v>-103.60527777777777</v>
      </c>
      <c r="N17" s="1">
        <v>58.151111111111106</v>
      </c>
      <c r="O17" s="1">
        <v>582082</v>
      </c>
      <c r="P17" s="1">
        <v>6446396</v>
      </c>
      <c r="Q17" s="2" t="s">
        <v>122</v>
      </c>
    </row>
    <row r="18" spans="1:18" hidden="1" x14ac:dyDescent="0.25">
      <c r="A18" s="1" t="s">
        <v>90</v>
      </c>
      <c r="B18" s="2" t="s">
        <v>80</v>
      </c>
      <c r="C18" s="2" t="s">
        <v>81</v>
      </c>
      <c r="D18" s="1" t="s">
        <v>3</v>
      </c>
      <c r="E18" s="1" t="s">
        <v>148</v>
      </c>
      <c r="F18" s="1" t="s">
        <v>8</v>
      </c>
      <c r="G18" s="1">
        <v>1808</v>
      </c>
      <c r="H18" s="4">
        <v>4</v>
      </c>
      <c r="I18" s="5" t="s">
        <v>5</v>
      </c>
      <c r="J18" s="1" t="s">
        <v>149</v>
      </c>
      <c r="L18" s="5" t="s">
        <v>103</v>
      </c>
      <c r="M18" s="1">
        <v>-103.58527777777778</v>
      </c>
      <c r="N18" s="1">
        <v>58.147777777777776</v>
      </c>
      <c r="O18" s="1">
        <v>583268</v>
      </c>
      <c r="P18" s="1">
        <v>6446044</v>
      </c>
      <c r="Q18" s="2" t="s">
        <v>122</v>
      </c>
      <c r="R18" s="2" t="s">
        <v>127</v>
      </c>
    </row>
    <row r="19" spans="1:18" hidden="1" x14ac:dyDescent="0.25">
      <c r="A19" s="1" t="s">
        <v>48</v>
      </c>
      <c r="B19" s="2" t="s">
        <v>33</v>
      </c>
      <c r="C19" s="2" t="s">
        <v>28</v>
      </c>
      <c r="D19" s="1" t="s">
        <v>3</v>
      </c>
      <c r="E19" s="1" t="s">
        <v>148</v>
      </c>
      <c r="F19" s="1" t="s">
        <v>8</v>
      </c>
      <c r="G19" s="1">
        <v>1819</v>
      </c>
      <c r="H19" s="4">
        <v>6</v>
      </c>
      <c r="I19" s="5" t="s">
        <v>47</v>
      </c>
      <c r="J19" s="1" t="s">
        <v>104</v>
      </c>
      <c r="K19" s="1" t="s">
        <v>204</v>
      </c>
      <c r="L19" s="5" t="s">
        <v>113</v>
      </c>
      <c r="M19" s="1">
        <v>57.870833333333337</v>
      </c>
      <c r="N19" s="1">
        <v>57.870833333333337</v>
      </c>
      <c r="O19" s="1">
        <v>489315</v>
      </c>
      <c r="P19" s="1">
        <v>6414369</v>
      </c>
      <c r="Q19" s="2" t="s">
        <v>281</v>
      </c>
      <c r="R19" s="2" t="s">
        <v>132</v>
      </c>
    </row>
    <row r="20" spans="1:18" hidden="1" x14ac:dyDescent="0.25">
      <c r="A20" s="1" t="s">
        <v>48</v>
      </c>
      <c r="B20" s="2" t="s">
        <v>33</v>
      </c>
      <c r="C20" s="2" t="s">
        <v>28</v>
      </c>
      <c r="D20" s="1" t="s">
        <v>3</v>
      </c>
      <c r="E20" s="1" t="s">
        <v>148</v>
      </c>
      <c r="F20" s="1" t="s">
        <v>8</v>
      </c>
      <c r="G20" s="1">
        <v>1224</v>
      </c>
      <c r="H20" s="4">
        <v>6</v>
      </c>
      <c r="I20" s="5" t="s">
        <v>32</v>
      </c>
      <c r="J20" s="1" t="s">
        <v>104</v>
      </c>
      <c r="K20" s="1" t="s">
        <v>203</v>
      </c>
      <c r="L20" s="5" t="s">
        <v>113</v>
      </c>
      <c r="M20" s="1">
        <v>57.870833333333337</v>
      </c>
      <c r="N20" s="1">
        <v>57.870833333333337</v>
      </c>
      <c r="O20" s="1">
        <v>489315</v>
      </c>
      <c r="P20" s="1">
        <v>6414369</v>
      </c>
      <c r="Q20" s="2" t="s">
        <v>124</v>
      </c>
      <c r="R20" s="2" t="s">
        <v>132</v>
      </c>
    </row>
    <row r="21" spans="1:18" hidden="1" x14ac:dyDescent="0.25">
      <c r="A21" s="1" t="s">
        <v>90</v>
      </c>
      <c r="B21" s="2" t="s">
        <v>62</v>
      </c>
      <c r="C21" s="2" t="s">
        <v>38</v>
      </c>
      <c r="D21" s="1" t="s">
        <v>3</v>
      </c>
      <c r="E21" s="1" t="s">
        <v>148</v>
      </c>
      <c r="F21" s="1" t="s">
        <v>8</v>
      </c>
      <c r="G21" s="1">
        <v>2726</v>
      </c>
      <c r="H21" s="4">
        <v>5</v>
      </c>
      <c r="I21" s="5" t="s">
        <v>47</v>
      </c>
      <c r="J21" s="1" t="s">
        <v>149</v>
      </c>
      <c r="L21" s="5" t="s">
        <v>157</v>
      </c>
      <c r="M21" s="1">
        <v>-103.35249999999999</v>
      </c>
      <c r="N21" s="1">
        <v>58.419999999999995</v>
      </c>
      <c r="O21" s="1">
        <v>596240</v>
      </c>
      <c r="P21" s="1">
        <v>6476663</v>
      </c>
      <c r="Q21" s="2" t="s">
        <v>122</v>
      </c>
    </row>
    <row r="22" spans="1:18" hidden="1" x14ac:dyDescent="0.25">
      <c r="B22" s="2" t="s">
        <v>264</v>
      </c>
      <c r="C22" s="2" t="s">
        <v>28</v>
      </c>
      <c r="D22" s="1" t="s">
        <v>3</v>
      </c>
      <c r="E22" s="1" t="s">
        <v>257</v>
      </c>
      <c r="F22" s="1" t="s">
        <v>241</v>
      </c>
      <c r="G22" s="1">
        <v>1730</v>
      </c>
      <c r="H22" s="4" t="s">
        <v>265</v>
      </c>
      <c r="I22" s="5" t="s">
        <v>267</v>
      </c>
      <c r="K22" s="1">
        <v>233</v>
      </c>
      <c r="L22" s="5" t="s">
        <v>263</v>
      </c>
      <c r="M22" s="1" t="s">
        <v>278</v>
      </c>
      <c r="N22" s="1" t="s">
        <v>278</v>
      </c>
      <c r="Q22" s="3" t="s">
        <v>256</v>
      </c>
    </row>
    <row r="23" spans="1:18" hidden="1" x14ac:dyDescent="0.25">
      <c r="B23" s="2" t="s">
        <v>239</v>
      </c>
      <c r="C23" s="2" t="s">
        <v>136</v>
      </c>
      <c r="D23" s="1" t="s">
        <v>3</v>
      </c>
      <c r="E23" s="1" t="s">
        <v>242</v>
      </c>
      <c r="F23" s="1" t="s">
        <v>241</v>
      </c>
      <c r="G23" s="1" t="s">
        <v>243</v>
      </c>
      <c r="I23" s="5" t="s">
        <v>138</v>
      </c>
      <c r="J23" s="1" t="s">
        <v>104</v>
      </c>
      <c r="K23" s="1">
        <v>93.5</v>
      </c>
      <c r="L23" s="5" t="s">
        <v>240</v>
      </c>
      <c r="M23" s="1" t="s">
        <v>278</v>
      </c>
      <c r="N23" s="1" t="s">
        <v>278</v>
      </c>
      <c r="Q23" s="2" t="s">
        <v>248</v>
      </c>
    </row>
    <row r="24" spans="1:18" hidden="1" x14ac:dyDescent="0.25">
      <c r="B24" s="2" t="s">
        <v>244</v>
      </c>
      <c r="C24" s="2" t="s">
        <v>136</v>
      </c>
      <c r="D24" s="1" t="s">
        <v>3</v>
      </c>
      <c r="E24" s="1" t="s">
        <v>242</v>
      </c>
      <c r="F24" s="1" t="s">
        <v>12</v>
      </c>
      <c r="G24" s="1" t="s">
        <v>246</v>
      </c>
      <c r="I24" s="5" t="s">
        <v>247</v>
      </c>
      <c r="J24" s="1" t="s">
        <v>104</v>
      </c>
      <c r="K24" s="1">
        <v>32.6</v>
      </c>
      <c r="L24" s="5" t="s">
        <v>245</v>
      </c>
      <c r="M24" s="1" t="s">
        <v>278</v>
      </c>
      <c r="N24" s="1" t="s">
        <v>278</v>
      </c>
      <c r="Q24" s="2" t="s">
        <v>249</v>
      </c>
    </row>
    <row r="25" spans="1:18" hidden="1" x14ac:dyDescent="0.25">
      <c r="A25" s="1" t="s">
        <v>90</v>
      </c>
      <c r="B25" s="2" t="s">
        <v>63</v>
      </c>
      <c r="C25" s="2" t="s">
        <v>60</v>
      </c>
      <c r="D25" s="1" t="s">
        <v>3</v>
      </c>
      <c r="E25" s="1" t="s">
        <v>148</v>
      </c>
      <c r="F25" s="1" t="s">
        <v>8</v>
      </c>
      <c r="G25" s="1">
        <v>1840</v>
      </c>
      <c r="H25" s="4" t="s">
        <v>159</v>
      </c>
      <c r="I25" s="5" t="s">
        <v>47</v>
      </c>
      <c r="J25" s="1" t="s">
        <v>149</v>
      </c>
      <c r="L25" s="5" t="s">
        <v>99</v>
      </c>
      <c r="M25" s="1">
        <v>-103.33</v>
      </c>
      <c r="N25" s="1">
        <v>59.412777777777777</v>
      </c>
      <c r="O25" s="1">
        <v>597570</v>
      </c>
      <c r="P25" s="1">
        <v>6475893</v>
      </c>
      <c r="Q25" s="2" t="s">
        <v>122</v>
      </c>
    </row>
    <row r="26" spans="1:18" hidden="1" x14ac:dyDescent="0.25">
      <c r="A26" s="1" t="s">
        <v>90</v>
      </c>
      <c r="B26" s="2" t="s">
        <v>63</v>
      </c>
      <c r="C26" s="2" t="s">
        <v>60</v>
      </c>
      <c r="D26" s="1" t="s">
        <v>3</v>
      </c>
      <c r="E26" s="1" t="s">
        <v>148</v>
      </c>
      <c r="F26" s="1" t="s">
        <v>12</v>
      </c>
      <c r="G26" s="1">
        <v>1790</v>
      </c>
      <c r="H26" s="4">
        <v>1</v>
      </c>
      <c r="I26" s="5" t="s">
        <v>5</v>
      </c>
      <c r="J26" s="1" t="s">
        <v>149</v>
      </c>
      <c r="L26" s="5" t="s">
        <v>99</v>
      </c>
      <c r="M26" s="1">
        <v>-103.33</v>
      </c>
      <c r="N26" s="1">
        <v>59.412777777777777</v>
      </c>
      <c r="O26" s="1">
        <v>597570</v>
      </c>
      <c r="P26" s="1">
        <v>6475893</v>
      </c>
      <c r="Q26" s="2" t="s">
        <v>122</v>
      </c>
      <c r="R26" s="2" t="s">
        <v>131</v>
      </c>
    </row>
    <row r="27" spans="1:18" hidden="1" x14ac:dyDescent="0.25">
      <c r="A27" s="1" t="s">
        <v>90</v>
      </c>
      <c r="B27" s="2" t="s">
        <v>64</v>
      </c>
      <c r="C27" s="2" t="s">
        <v>28</v>
      </c>
      <c r="D27" s="1" t="s">
        <v>3</v>
      </c>
      <c r="E27" s="1" t="s">
        <v>148</v>
      </c>
      <c r="F27" s="1" t="s">
        <v>8</v>
      </c>
      <c r="G27" s="1">
        <v>1819</v>
      </c>
      <c r="H27" s="4">
        <v>6</v>
      </c>
      <c r="I27" s="5" t="s">
        <v>47</v>
      </c>
      <c r="J27" s="1" t="s">
        <v>149</v>
      </c>
      <c r="L27" s="5" t="s">
        <v>99</v>
      </c>
      <c r="M27" s="1">
        <v>58.412777777777777</v>
      </c>
      <c r="N27" s="1">
        <v>58.412777777777777</v>
      </c>
      <c r="O27" s="1">
        <v>597570</v>
      </c>
      <c r="P27" s="1">
        <v>6475893</v>
      </c>
      <c r="Q27" s="2" t="s">
        <v>122</v>
      </c>
      <c r="R27" s="2" t="s">
        <v>127</v>
      </c>
    </row>
    <row r="28" spans="1:18" hidden="1" x14ac:dyDescent="0.25">
      <c r="A28" s="1" t="s">
        <v>90</v>
      </c>
      <c r="B28" s="2" t="s">
        <v>57</v>
      </c>
      <c r="C28" s="2" t="s">
        <v>58</v>
      </c>
      <c r="D28" s="1" t="s">
        <v>3</v>
      </c>
      <c r="E28" s="1" t="s">
        <v>148</v>
      </c>
      <c r="F28" s="1" t="s">
        <v>8</v>
      </c>
      <c r="G28" s="1">
        <v>1812</v>
      </c>
      <c r="H28" s="4">
        <v>3</v>
      </c>
      <c r="I28" s="5" t="s">
        <v>47</v>
      </c>
      <c r="J28" s="1" t="s">
        <v>149</v>
      </c>
      <c r="L28" s="5" t="s">
        <v>102</v>
      </c>
      <c r="M28" s="1">
        <v>58.304166666666667</v>
      </c>
      <c r="N28" s="1">
        <v>58.304166666666667</v>
      </c>
      <c r="O28" s="1">
        <v>585691</v>
      </c>
      <c r="P28" s="1">
        <v>6463495</v>
      </c>
      <c r="Q28" s="2" t="s">
        <v>122</v>
      </c>
      <c r="R28" s="2" t="s">
        <v>130</v>
      </c>
    </row>
    <row r="29" spans="1:18" hidden="1" x14ac:dyDescent="0.25">
      <c r="A29" s="1" t="s">
        <v>90</v>
      </c>
      <c r="B29" s="2" t="s">
        <v>76</v>
      </c>
      <c r="C29" s="2" t="s">
        <v>77</v>
      </c>
      <c r="D29" s="1" t="s">
        <v>3</v>
      </c>
      <c r="E29" s="1" t="s">
        <v>148</v>
      </c>
      <c r="F29" s="1" t="s">
        <v>8</v>
      </c>
      <c r="G29" s="1">
        <v>1719</v>
      </c>
      <c r="H29" s="4">
        <v>1</v>
      </c>
      <c r="I29" s="5" t="s">
        <v>5</v>
      </c>
      <c r="J29" s="1" t="s">
        <v>149</v>
      </c>
      <c r="L29" s="5" t="s">
        <v>97</v>
      </c>
      <c r="M29" s="1">
        <v>-103.58527777777778</v>
      </c>
      <c r="N29" s="1">
        <v>58.208333333333336</v>
      </c>
      <c r="O29" s="1">
        <v>583112</v>
      </c>
      <c r="P29" s="1">
        <v>6452798</v>
      </c>
      <c r="Q29" s="2" t="s">
        <v>116</v>
      </c>
    </row>
    <row r="30" spans="1:18" hidden="1" x14ac:dyDescent="0.25">
      <c r="A30" s="1" t="s">
        <v>90</v>
      </c>
      <c r="B30" s="2" t="s">
        <v>76</v>
      </c>
      <c r="C30" s="2" t="s">
        <v>77</v>
      </c>
      <c r="D30" s="1" t="s">
        <v>3</v>
      </c>
      <c r="E30" s="1" t="s">
        <v>148</v>
      </c>
      <c r="F30" s="1" t="s">
        <v>12</v>
      </c>
      <c r="G30" s="1">
        <v>1782</v>
      </c>
      <c r="H30" s="4">
        <v>1</v>
      </c>
      <c r="I30" s="5" t="s">
        <v>5</v>
      </c>
      <c r="J30" s="1" t="s">
        <v>149</v>
      </c>
      <c r="L30" s="5" t="s">
        <v>97</v>
      </c>
      <c r="M30" s="1">
        <v>-103.58527777777778</v>
      </c>
      <c r="N30" s="1">
        <v>58.208333333333336</v>
      </c>
      <c r="O30" s="1">
        <v>583112</v>
      </c>
      <c r="P30" s="1">
        <v>6452798</v>
      </c>
      <c r="Q30" s="2" t="s">
        <v>116</v>
      </c>
    </row>
    <row r="31" spans="1:18" hidden="1" x14ac:dyDescent="0.25">
      <c r="A31" s="1" t="s">
        <v>90</v>
      </c>
      <c r="B31" s="2" t="s">
        <v>78</v>
      </c>
      <c r="C31" s="2" t="s">
        <v>79</v>
      </c>
      <c r="D31" s="1" t="s">
        <v>3</v>
      </c>
      <c r="E31" s="1" t="s">
        <v>148</v>
      </c>
      <c r="F31" s="1" t="s">
        <v>8</v>
      </c>
      <c r="G31" s="1">
        <v>1820</v>
      </c>
      <c r="H31" s="4">
        <v>5</v>
      </c>
      <c r="I31" s="5" t="s">
        <v>47</v>
      </c>
      <c r="J31" s="1" t="s">
        <v>149</v>
      </c>
      <c r="L31" s="5" t="s">
        <v>97</v>
      </c>
      <c r="M31" s="1">
        <v>-103.59722222222221</v>
      </c>
      <c r="N31" s="1">
        <v>58.205555555555556</v>
      </c>
      <c r="O31" s="1">
        <v>583144</v>
      </c>
      <c r="P31" s="1">
        <v>6452482</v>
      </c>
      <c r="Q31" s="2" t="s">
        <v>118</v>
      </c>
    </row>
    <row r="32" spans="1:18" hidden="1" x14ac:dyDescent="0.25">
      <c r="A32" s="1" t="s">
        <v>90</v>
      </c>
      <c r="B32" s="2" t="s">
        <v>70</v>
      </c>
      <c r="C32" s="2" t="s">
        <v>71</v>
      </c>
      <c r="D32" s="1" t="s">
        <v>3</v>
      </c>
      <c r="E32" s="1" t="s">
        <v>148</v>
      </c>
      <c r="F32" s="1" t="s">
        <v>8</v>
      </c>
      <c r="G32" s="1" t="s">
        <v>72</v>
      </c>
      <c r="H32" s="4" t="s">
        <v>15</v>
      </c>
      <c r="I32" s="5" t="s">
        <v>13</v>
      </c>
      <c r="J32" s="1" t="s">
        <v>149</v>
      </c>
      <c r="L32" s="5" t="s">
        <v>97</v>
      </c>
      <c r="M32" s="1">
        <v>-103.76</v>
      </c>
      <c r="N32" s="1">
        <v>58.144166666666663</v>
      </c>
      <c r="O32" s="1">
        <v>572965</v>
      </c>
      <c r="P32" s="1">
        <v>6445460</v>
      </c>
      <c r="Q32" s="2" t="s">
        <v>118</v>
      </c>
    </row>
    <row r="33" spans="1:18" hidden="1" x14ac:dyDescent="0.25">
      <c r="A33" s="1" t="s">
        <v>90</v>
      </c>
      <c r="B33" s="2" t="s">
        <v>70</v>
      </c>
      <c r="C33" s="2" t="s">
        <v>71</v>
      </c>
      <c r="D33" s="1" t="s">
        <v>3</v>
      </c>
      <c r="E33" s="1" t="s">
        <v>148</v>
      </c>
      <c r="F33" s="1" t="s">
        <v>12</v>
      </c>
      <c r="G33" s="1">
        <v>1816</v>
      </c>
      <c r="H33" s="4">
        <v>2</v>
      </c>
      <c r="I33" s="5" t="s">
        <v>5</v>
      </c>
      <c r="J33" s="1" t="s">
        <v>149</v>
      </c>
      <c r="L33" s="5" t="s">
        <v>97</v>
      </c>
      <c r="M33" s="1">
        <v>-103.76</v>
      </c>
      <c r="N33" s="1">
        <v>58.144166666666663</v>
      </c>
      <c r="O33" s="1">
        <v>572965</v>
      </c>
      <c r="P33" s="1">
        <v>6445460</v>
      </c>
      <c r="Q33" s="2" t="s">
        <v>118</v>
      </c>
    </row>
    <row r="34" spans="1:18" hidden="1" x14ac:dyDescent="0.25">
      <c r="A34" s="1" t="s">
        <v>90</v>
      </c>
      <c r="B34" s="2" t="s">
        <v>74</v>
      </c>
      <c r="C34" s="2" t="s">
        <v>75</v>
      </c>
      <c r="D34" s="1" t="s">
        <v>3</v>
      </c>
      <c r="E34" s="1" t="s">
        <v>148</v>
      </c>
      <c r="F34" s="1" t="s">
        <v>12</v>
      </c>
      <c r="G34" s="1">
        <v>1812</v>
      </c>
      <c r="H34" s="4">
        <v>2</v>
      </c>
      <c r="I34" s="5" t="s">
        <v>5</v>
      </c>
      <c r="J34" s="1" t="s">
        <v>149</v>
      </c>
      <c r="L34" s="5" t="s">
        <v>97</v>
      </c>
      <c r="M34" s="1">
        <v>58.149722222222223</v>
      </c>
      <c r="N34" s="1">
        <v>58.149722222222223</v>
      </c>
      <c r="O34" s="1">
        <v>573147</v>
      </c>
      <c r="P34" s="1">
        <v>6446066</v>
      </c>
      <c r="Q34" s="2" t="s">
        <v>118</v>
      </c>
    </row>
    <row r="35" spans="1:18" hidden="1" x14ac:dyDescent="0.25">
      <c r="A35" s="1" t="s">
        <v>90</v>
      </c>
      <c r="B35" s="2" t="s">
        <v>73</v>
      </c>
      <c r="C35" s="2" t="s">
        <v>58</v>
      </c>
      <c r="D35" s="1" t="s">
        <v>3</v>
      </c>
      <c r="E35" s="1" t="s">
        <v>148</v>
      </c>
      <c r="F35" s="1" t="s">
        <v>8</v>
      </c>
      <c r="G35" s="1">
        <v>1815</v>
      </c>
      <c r="H35" s="4">
        <v>2</v>
      </c>
      <c r="I35" s="5" t="s">
        <v>47</v>
      </c>
      <c r="J35" s="1" t="s">
        <v>149</v>
      </c>
      <c r="L35" s="5" t="s">
        <v>97</v>
      </c>
      <c r="M35" s="1">
        <v>58.176388888888887</v>
      </c>
      <c r="N35" s="1">
        <v>58.176388888888887</v>
      </c>
      <c r="O35" s="1">
        <v>574567</v>
      </c>
      <c r="P35" s="1">
        <v>6449063</v>
      </c>
      <c r="Q35" s="2" t="s">
        <v>118</v>
      </c>
    </row>
    <row r="36" spans="1:18" hidden="1" x14ac:dyDescent="0.25">
      <c r="A36" s="1" t="s">
        <v>90</v>
      </c>
      <c r="B36" s="2" t="s">
        <v>73</v>
      </c>
      <c r="C36" s="2" t="s">
        <v>58</v>
      </c>
      <c r="D36" s="1" t="s">
        <v>3</v>
      </c>
      <c r="E36" s="1" t="s">
        <v>148</v>
      </c>
      <c r="F36" s="1" t="s">
        <v>4</v>
      </c>
      <c r="G36" s="1">
        <v>1788</v>
      </c>
      <c r="H36" s="4">
        <v>2</v>
      </c>
      <c r="I36" s="5" t="s">
        <v>5</v>
      </c>
      <c r="J36" s="1" t="s">
        <v>149</v>
      </c>
      <c r="L36" s="5" t="s">
        <v>97</v>
      </c>
      <c r="M36" s="1">
        <v>58.176388888888887</v>
      </c>
      <c r="N36" s="1">
        <v>58.176388888888887</v>
      </c>
      <c r="O36" s="1">
        <v>574567</v>
      </c>
      <c r="P36" s="1">
        <v>6449063</v>
      </c>
      <c r="Q36" s="2" t="s">
        <v>118</v>
      </c>
    </row>
    <row r="37" spans="1:18" s="8" customFormat="1" hidden="1" x14ac:dyDescent="0.25">
      <c r="A37" s="1"/>
      <c r="B37" s="2"/>
      <c r="C37" s="2" t="s">
        <v>273</v>
      </c>
      <c r="D37" s="1" t="s">
        <v>3</v>
      </c>
      <c r="E37" s="1" t="s">
        <v>257</v>
      </c>
      <c r="F37" s="1" t="s">
        <v>241</v>
      </c>
      <c r="G37" s="1">
        <v>1774</v>
      </c>
      <c r="H37" s="4" t="s">
        <v>261</v>
      </c>
      <c r="I37" s="5" t="s">
        <v>262</v>
      </c>
      <c r="J37" s="1"/>
      <c r="K37" s="1"/>
      <c r="L37" s="5" t="s">
        <v>258</v>
      </c>
      <c r="M37" s="1" t="s">
        <v>278</v>
      </c>
      <c r="N37" s="1" t="s">
        <v>278</v>
      </c>
      <c r="O37" s="1"/>
      <c r="P37" s="1"/>
      <c r="Q37" s="3" t="s">
        <v>256</v>
      </c>
      <c r="R37" s="2"/>
    </row>
    <row r="38" spans="1:18" s="8" customFormat="1" hidden="1" x14ac:dyDescent="0.25">
      <c r="A38" s="1"/>
      <c r="B38" s="2"/>
      <c r="C38" s="2" t="s">
        <v>273</v>
      </c>
      <c r="D38" s="1" t="s">
        <v>3</v>
      </c>
      <c r="E38" s="1" t="s">
        <v>257</v>
      </c>
      <c r="F38" s="1" t="s">
        <v>241</v>
      </c>
      <c r="G38" s="1">
        <v>1805</v>
      </c>
      <c r="H38" s="4" t="s">
        <v>259</v>
      </c>
      <c r="I38" s="5" t="s">
        <v>260</v>
      </c>
      <c r="J38" s="1"/>
      <c r="K38" s="1"/>
      <c r="L38" s="5" t="s">
        <v>258</v>
      </c>
      <c r="M38" s="1" t="s">
        <v>278</v>
      </c>
      <c r="N38" s="1" t="s">
        <v>278</v>
      </c>
      <c r="O38" s="1"/>
      <c r="P38" s="1"/>
      <c r="Q38" s="3" t="s">
        <v>256</v>
      </c>
      <c r="R38" s="2"/>
    </row>
    <row r="39" spans="1:18" hidden="1" x14ac:dyDescent="0.25">
      <c r="D39" s="1" t="s">
        <v>3</v>
      </c>
      <c r="E39" s="1" t="s">
        <v>242</v>
      </c>
      <c r="F39" s="1" t="s">
        <v>241</v>
      </c>
      <c r="G39" s="1" t="s">
        <v>270</v>
      </c>
      <c r="L39" s="5" t="s">
        <v>271</v>
      </c>
      <c r="M39" s="1" t="s">
        <v>278</v>
      </c>
      <c r="N39" s="1" t="s">
        <v>278</v>
      </c>
      <c r="Q39" s="3" t="s">
        <v>256</v>
      </c>
    </row>
    <row r="40" spans="1:18" hidden="1" x14ac:dyDescent="0.25">
      <c r="D40" s="1" t="s">
        <v>3</v>
      </c>
      <c r="E40" s="1" t="s">
        <v>242</v>
      </c>
      <c r="F40" s="1" t="s">
        <v>241</v>
      </c>
      <c r="G40" s="1" t="s">
        <v>269</v>
      </c>
      <c r="L40" s="5" t="s">
        <v>272</v>
      </c>
      <c r="M40" s="1" t="s">
        <v>278</v>
      </c>
      <c r="N40" s="1" t="s">
        <v>278</v>
      </c>
      <c r="Q40" s="3" t="s">
        <v>256</v>
      </c>
    </row>
    <row r="41" spans="1:18" hidden="1" x14ac:dyDescent="0.25">
      <c r="C41" s="2" t="s">
        <v>191</v>
      </c>
      <c r="D41" s="1" t="s">
        <v>3</v>
      </c>
      <c r="E41" s="1" t="s">
        <v>148</v>
      </c>
      <c r="F41" s="1" t="s">
        <v>8</v>
      </c>
      <c r="G41" s="1">
        <v>1814</v>
      </c>
      <c r="H41" s="4" t="s">
        <v>193</v>
      </c>
      <c r="L41" s="5" t="s">
        <v>192</v>
      </c>
      <c r="M41" s="1" t="s">
        <v>278</v>
      </c>
      <c r="N41" s="1" t="s">
        <v>278</v>
      </c>
      <c r="Q41" s="2" t="s">
        <v>194</v>
      </c>
    </row>
    <row r="42" spans="1:18" hidden="1" x14ac:dyDescent="0.25">
      <c r="A42" s="1" t="s">
        <v>90</v>
      </c>
      <c r="B42" s="2" t="s">
        <v>51</v>
      </c>
      <c r="C42" s="2" t="s">
        <v>52</v>
      </c>
      <c r="D42" s="1" t="s">
        <v>3</v>
      </c>
      <c r="E42" s="1" t="s">
        <v>148</v>
      </c>
      <c r="F42" s="1" t="s">
        <v>8</v>
      </c>
      <c r="G42" s="1" t="s">
        <v>181</v>
      </c>
      <c r="H42" s="4" t="s">
        <v>15</v>
      </c>
      <c r="I42" s="5" t="s">
        <v>47</v>
      </c>
      <c r="J42" s="1" t="s">
        <v>104</v>
      </c>
      <c r="L42" s="5" t="s">
        <v>108</v>
      </c>
      <c r="M42" s="1">
        <v>-103.88611111111112</v>
      </c>
      <c r="N42" s="1">
        <v>58.346388888888889</v>
      </c>
      <c r="O42" s="1">
        <v>565196</v>
      </c>
      <c r="P42" s="1">
        <v>6467804</v>
      </c>
      <c r="Q42" s="2" t="s">
        <v>122</v>
      </c>
    </row>
    <row r="43" spans="1:18" hidden="1" x14ac:dyDescent="0.25">
      <c r="A43" s="1" t="s">
        <v>90</v>
      </c>
      <c r="B43" s="2" t="s">
        <v>49</v>
      </c>
      <c r="C43" s="2" t="s">
        <v>50</v>
      </c>
      <c r="D43" s="1" t="s">
        <v>3</v>
      </c>
      <c r="E43" s="1" t="s">
        <v>148</v>
      </c>
      <c r="F43" s="1" t="s">
        <v>8</v>
      </c>
      <c r="G43" s="1">
        <v>1814</v>
      </c>
      <c r="H43" s="4" t="s">
        <v>177</v>
      </c>
      <c r="I43" s="5" t="s">
        <v>5</v>
      </c>
      <c r="J43" s="1" t="s">
        <v>104</v>
      </c>
      <c r="L43" s="5" t="s">
        <v>108</v>
      </c>
      <c r="M43" s="1">
        <v>-103.91972222222223</v>
      </c>
      <c r="N43" s="1" t="s">
        <v>278</v>
      </c>
      <c r="O43" s="1">
        <v>563210</v>
      </c>
      <c r="P43" s="1">
        <v>6468721</v>
      </c>
      <c r="Q43" s="2" t="s">
        <v>122</v>
      </c>
    </row>
    <row r="44" spans="1:18" hidden="1" x14ac:dyDescent="0.25">
      <c r="A44" s="1" t="s">
        <v>48</v>
      </c>
      <c r="B44" s="2" t="s">
        <v>20</v>
      </c>
      <c r="C44" s="2" t="s">
        <v>16</v>
      </c>
      <c r="D44" s="1" t="s">
        <v>3</v>
      </c>
      <c r="E44" s="1" t="s">
        <v>148</v>
      </c>
      <c r="F44" s="1" t="s">
        <v>4</v>
      </c>
      <c r="G44" s="1">
        <v>1783</v>
      </c>
      <c r="H44" s="4">
        <v>4</v>
      </c>
      <c r="I44" s="5" t="s">
        <v>5</v>
      </c>
      <c r="J44" s="1" t="s">
        <v>149</v>
      </c>
      <c r="L44" s="5" t="s">
        <v>98</v>
      </c>
      <c r="M44" s="1">
        <v>-106.12138888888889</v>
      </c>
      <c r="N44" s="1">
        <v>56.933055555555555</v>
      </c>
      <c r="O44" s="1">
        <v>431695</v>
      </c>
      <c r="P44" s="1">
        <v>6308856</v>
      </c>
      <c r="Q44" s="2" t="s">
        <v>122</v>
      </c>
    </row>
    <row r="45" spans="1:18" hidden="1" x14ac:dyDescent="0.25">
      <c r="A45" s="1" t="s">
        <v>48</v>
      </c>
      <c r="B45" s="2" t="s">
        <v>11</v>
      </c>
      <c r="C45" s="2" t="s">
        <v>16</v>
      </c>
      <c r="D45" s="1" t="s">
        <v>3</v>
      </c>
      <c r="E45" s="1" t="s">
        <v>148</v>
      </c>
      <c r="F45" s="1" t="s">
        <v>4</v>
      </c>
      <c r="G45" s="1">
        <v>1796</v>
      </c>
      <c r="H45" s="4">
        <v>4</v>
      </c>
      <c r="I45" s="5" t="s">
        <v>5</v>
      </c>
      <c r="J45" s="1" t="s">
        <v>149</v>
      </c>
      <c r="L45" s="5" t="s">
        <v>98</v>
      </c>
      <c r="M45" s="1">
        <v>-106.13444444444445</v>
      </c>
      <c r="N45" s="1">
        <v>56.933055555555555</v>
      </c>
      <c r="O45" s="1">
        <v>430929</v>
      </c>
      <c r="P45" s="1">
        <v>6310520</v>
      </c>
      <c r="Q45" s="2" t="s">
        <v>122</v>
      </c>
    </row>
    <row r="46" spans="1:18" hidden="1" x14ac:dyDescent="0.25">
      <c r="A46" s="1" t="s">
        <v>48</v>
      </c>
      <c r="B46" s="2" t="s">
        <v>29</v>
      </c>
      <c r="C46" s="2" t="s">
        <v>30</v>
      </c>
      <c r="D46" s="1" t="s">
        <v>3</v>
      </c>
      <c r="E46" s="1" t="s">
        <v>148</v>
      </c>
      <c r="F46" s="1" t="s">
        <v>4</v>
      </c>
      <c r="G46" s="1">
        <v>1789</v>
      </c>
      <c r="H46" s="4">
        <v>4</v>
      </c>
      <c r="I46" s="5" t="s">
        <v>5</v>
      </c>
      <c r="J46" s="1" t="s">
        <v>149</v>
      </c>
      <c r="L46" s="5" t="s">
        <v>98</v>
      </c>
      <c r="M46" s="1">
        <v>-106.15277777777779</v>
      </c>
      <c r="N46" s="1">
        <v>56.831388888888895</v>
      </c>
      <c r="O46" s="1">
        <v>429777</v>
      </c>
      <c r="P46" s="1">
        <v>6299228</v>
      </c>
      <c r="Q46" s="2" t="s">
        <v>118</v>
      </c>
    </row>
    <row r="47" spans="1:18" hidden="1" x14ac:dyDescent="0.25">
      <c r="A47" s="1" t="s">
        <v>48</v>
      </c>
      <c r="B47" s="2" t="s">
        <v>1</v>
      </c>
      <c r="C47" s="2" t="s">
        <v>2</v>
      </c>
      <c r="D47" s="1" t="s">
        <v>3</v>
      </c>
      <c r="E47" s="1" t="s">
        <v>148</v>
      </c>
      <c r="F47" s="1" t="s">
        <v>4</v>
      </c>
      <c r="G47" s="1">
        <v>1792</v>
      </c>
      <c r="H47" s="4">
        <v>4</v>
      </c>
      <c r="I47" s="5" t="s">
        <v>5</v>
      </c>
      <c r="J47" s="1" t="s">
        <v>149</v>
      </c>
      <c r="L47" s="5" t="s">
        <v>98</v>
      </c>
      <c r="M47" s="1">
        <v>-106.13</v>
      </c>
      <c r="N47" s="1">
        <v>56.955833333333338</v>
      </c>
      <c r="O47" s="1">
        <v>431247</v>
      </c>
      <c r="P47" s="1">
        <v>6313050</v>
      </c>
      <c r="Q47" s="2" t="s">
        <v>122</v>
      </c>
    </row>
    <row r="48" spans="1:18" hidden="1" x14ac:dyDescent="0.25">
      <c r="A48" s="1" t="s">
        <v>48</v>
      </c>
      <c r="B48" s="2" t="s">
        <v>23</v>
      </c>
      <c r="C48" s="2" t="s">
        <v>24</v>
      </c>
      <c r="D48" s="1" t="s">
        <v>3</v>
      </c>
      <c r="E48" s="1" t="s">
        <v>148</v>
      </c>
      <c r="F48" s="1" t="s">
        <v>4</v>
      </c>
      <c r="G48" s="1">
        <v>1803</v>
      </c>
      <c r="H48" s="4">
        <v>4</v>
      </c>
      <c r="I48" s="5" t="s">
        <v>5</v>
      </c>
      <c r="J48" s="1" t="s">
        <v>149</v>
      </c>
      <c r="L48" s="5" t="s">
        <v>98</v>
      </c>
      <c r="M48" s="1">
        <v>-106.15916666666668</v>
      </c>
      <c r="N48" s="1">
        <v>56.908055555555556</v>
      </c>
      <c r="O48" s="1">
        <v>429384</v>
      </c>
      <c r="P48" s="1">
        <v>6307750</v>
      </c>
      <c r="Q48" s="2" t="s">
        <v>122</v>
      </c>
    </row>
    <row r="49" spans="1:18" hidden="1" x14ac:dyDescent="0.25">
      <c r="A49" s="1" t="s">
        <v>48</v>
      </c>
      <c r="B49" s="2" t="s">
        <v>6</v>
      </c>
      <c r="C49" s="2" t="s">
        <v>7</v>
      </c>
      <c r="D49" s="1" t="s">
        <v>3</v>
      </c>
      <c r="E49" s="1" t="s">
        <v>148</v>
      </c>
      <c r="F49" s="1" t="s">
        <v>4</v>
      </c>
      <c r="G49" s="1">
        <v>1828</v>
      </c>
      <c r="H49" s="4">
        <v>3</v>
      </c>
      <c r="I49" s="5" t="s">
        <v>47</v>
      </c>
      <c r="J49" s="1" t="s">
        <v>149</v>
      </c>
      <c r="L49" s="5" t="s">
        <v>98</v>
      </c>
      <c r="M49" s="1">
        <v>-106.11472222222221</v>
      </c>
      <c r="N49" s="1">
        <v>56.922222222222217</v>
      </c>
      <c r="O49" s="1">
        <v>432113</v>
      </c>
      <c r="P49" s="1">
        <v>6309305</v>
      </c>
      <c r="Q49" s="2" t="s">
        <v>122</v>
      </c>
      <c r="R49" s="2" t="s">
        <v>119</v>
      </c>
    </row>
    <row r="50" spans="1:18" hidden="1" x14ac:dyDescent="0.25">
      <c r="A50" s="1" t="s">
        <v>48</v>
      </c>
      <c r="B50" s="2" t="s">
        <v>6</v>
      </c>
      <c r="C50" s="2" t="s">
        <v>7</v>
      </c>
      <c r="D50" s="1" t="s">
        <v>3</v>
      </c>
      <c r="E50" s="1" t="s">
        <v>148</v>
      </c>
      <c r="F50" s="1" t="s">
        <v>8</v>
      </c>
      <c r="G50" s="1">
        <v>1829</v>
      </c>
      <c r="H50" s="4">
        <v>1</v>
      </c>
      <c r="I50" s="5" t="s">
        <v>47</v>
      </c>
      <c r="J50" s="1" t="s">
        <v>149</v>
      </c>
      <c r="L50" s="5" t="s">
        <v>98</v>
      </c>
      <c r="M50" s="1">
        <v>-106.11472222222221</v>
      </c>
      <c r="N50" s="1">
        <v>56.922222222222217</v>
      </c>
      <c r="O50" s="1">
        <v>432113</v>
      </c>
      <c r="P50" s="1">
        <v>6309305</v>
      </c>
      <c r="Q50" s="2" t="s">
        <v>122</v>
      </c>
      <c r="R50" s="2" t="s">
        <v>119</v>
      </c>
    </row>
    <row r="51" spans="1:18" hidden="1" x14ac:dyDescent="0.25">
      <c r="A51" s="1" t="s">
        <v>48</v>
      </c>
      <c r="B51" s="2" t="s">
        <v>25</v>
      </c>
      <c r="C51" s="2" t="s">
        <v>26</v>
      </c>
      <c r="D51" s="1" t="s">
        <v>3</v>
      </c>
      <c r="E51" s="1" t="s">
        <v>148</v>
      </c>
      <c r="F51" s="1" t="s">
        <v>8</v>
      </c>
      <c r="G51" s="1">
        <v>2733</v>
      </c>
      <c r="H51" s="4" t="s">
        <v>190</v>
      </c>
      <c r="I51" s="5" t="s">
        <v>47</v>
      </c>
      <c r="J51" s="1" t="s">
        <v>149</v>
      </c>
      <c r="L51" s="5" t="s">
        <v>98</v>
      </c>
      <c r="M51" s="1">
        <v>57.005833333333335</v>
      </c>
      <c r="N51" s="1">
        <v>57.005833333333335</v>
      </c>
      <c r="O51" s="1">
        <v>435888</v>
      </c>
      <c r="P51" s="1">
        <v>6318556</v>
      </c>
      <c r="Q51" s="2" t="s">
        <v>118</v>
      </c>
    </row>
    <row r="52" spans="1:18" hidden="1" x14ac:dyDescent="0.25">
      <c r="A52" s="8" t="s">
        <v>48</v>
      </c>
      <c r="B52" s="11" t="s">
        <v>27</v>
      </c>
      <c r="C52" s="11" t="s">
        <v>28</v>
      </c>
      <c r="D52" s="8" t="s">
        <v>3</v>
      </c>
      <c r="E52" s="8" t="s">
        <v>148</v>
      </c>
      <c r="F52" s="8" t="s">
        <v>4</v>
      </c>
      <c r="G52" s="8">
        <v>1788</v>
      </c>
      <c r="H52" s="12">
        <v>4</v>
      </c>
      <c r="I52" s="13" t="s">
        <v>5</v>
      </c>
      <c r="J52" s="8" t="s">
        <v>149</v>
      </c>
      <c r="K52" s="8"/>
      <c r="L52" s="13" t="s">
        <v>98</v>
      </c>
      <c r="M52" s="8">
        <v>57.019722222222221</v>
      </c>
      <c r="N52" s="8">
        <v>57.019722222222221</v>
      </c>
      <c r="O52" s="8">
        <v>437354</v>
      </c>
      <c r="P52" s="8">
        <v>6320071</v>
      </c>
      <c r="Q52" s="11" t="s">
        <v>122</v>
      </c>
      <c r="R52" s="11"/>
    </row>
    <row r="53" spans="1:18" hidden="1" x14ac:dyDescent="0.25">
      <c r="A53" s="8" t="s">
        <v>48</v>
      </c>
      <c r="B53" s="11" t="s">
        <v>27</v>
      </c>
      <c r="C53" s="11" t="s">
        <v>28</v>
      </c>
      <c r="D53" s="8" t="s">
        <v>3</v>
      </c>
      <c r="E53" s="8" t="s">
        <v>148</v>
      </c>
      <c r="F53" s="8" t="s">
        <v>4</v>
      </c>
      <c r="G53" s="8">
        <v>1792</v>
      </c>
      <c r="H53" s="12">
        <v>4</v>
      </c>
      <c r="I53" s="13" t="s">
        <v>5</v>
      </c>
      <c r="J53" s="8" t="s">
        <v>149</v>
      </c>
      <c r="K53" s="8"/>
      <c r="L53" s="13" t="s">
        <v>98</v>
      </c>
      <c r="M53" s="8">
        <v>57.019722222222221</v>
      </c>
      <c r="N53" s="8">
        <v>57.019722222222221</v>
      </c>
      <c r="O53" s="8">
        <v>437354</v>
      </c>
      <c r="P53" s="8">
        <v>6320071</v>
      </c>
      <c r="Q53" s="11" t="s">
        <v>122</v>
      </c>
      <c r="R53" s="11"/>
    </row>
    <row r="54" spans="1:18" hidden="1" x14ac:dyDescent="0.25">
      <c r="A54" s="1" t="s">
        <v>48</v>
      </c>
      <c r="B54" s="2" t="s">
        <v>9</v>
      </c>
      <c r="C54" s="2" t="s">
        <v>10</v>
      </c>
      <c r="D54" s="1" t="s">
        <v>3</v>
      </c>
      <c r="E54" s="1" t="s">
        <v>148</v>
      </c>
      <c r="F54" s="1" t="s">
        <v>8</v>
      </c>
      <c r="G54" s="1" t="s">
        <v>14</v>
      </c>
      <c r="H54" s="4" t="s">
        <v>15</v>
      </c>
      <c r="I54" s="5" t="s">
        <v>13</v>
      </c>
      <c r="J54" s="1" t="s">
        <v>149</v>
      </c>
      <c r="L54" s="5" t="s">
        <v>98</v>
      </c>
      <c r="M54" s="1">
        <v>56.939166666666665</v>
      </c>
      <c r="N54" s="1">
        <v>56.939166666666665</v>
      </c>
      <c r="O54" s="1">
        <v>431133</v>
      </c>
      <c r="P54" s="1">
        <v>6311188</v>
      </c>
      <c r="Q54" s="2" t="s">
        <v>118</v>
      </c>
    </row>
    <row r="55" spans="1:18" hidden="1" x14ac:dyDescent="0.25">
      <c r="A55" s="1" t="s">
        <v>48</v>
      </c>
      <c r="B55" s="2" t="s">
        <v>9</v>
      </c>
      <c r="C55" s="2" t="s">
        <v>10</v>
      </c>
      <c r="D55" s="1" t="s">
        <v>3</v>
      </c>
      <c r="E55" s="1" t="s">
        <v>148</v>
      </c>
      <c r="F55" s="1" t="s">
        <v>12</v>
      </c>
      <c r="G55" s="1">
        <v>1814</v>
      </c>
      <c r="H55" s="4">
        <v>2</v>
      </c>
      <c r="I55" s="5" t="s">
        <v>5</v>
      </c>
      <c r="J55" s="1" t="s">
        <v>149</v>
      </c>
      <c r="L55" s="5" t="s">
        <v>98</v>
      </c>
      <c r="M55" s="1">
        <v>56.939166666666665</v>
      </c>
      <c r="N55" s="1">
        <v>56.939166666666665</v>
      </c>
      <c r="O55" s="1">
        <v>431133</v>
      </c>
      <c r="P55" s="1">
        <v>6311188</v>
      </c>
      <c r="Q55" s="2" t="s">
        <v>118</v>
      </c>
    </row>
    <row r="56" spans="1:18" hidden="1" x14ac:dyDescent="0.25">
      <c r="A56" s="1" t="s">
        <v>48</v>
      </c>
      <c r="B56" s="2" t="s">
        <v>17</v>
      </c>
      <c r="C56" s="2" t="s">
        <v>18</v>
      </c>
      <c r="D56" s="1" t="s">
        <v>3</v>
      </c>
      <c r="E56" s="1" t="s">
        <v>148</v>
      </c>
      <c r="F56" s="1" t="s">
        <v>4</v>
      </c>
      <c r="G56" s="1">
        <v>1806</v>
      </c>
      <c r="H56" s="4">
        <v>3</v>
      </c>
      <c r="I56" s="5" t="s">
        <v>5</v>
      </c>
      <c r="J56" s="1" t="s">
        <v>149</v>
      </c>
      <c r="L56" s="5" t="s">
        <v>98</v>
      </c>
      <c r="M56" s="1">
        <v>56.928055555555552</v>
      </c>
      <c r="N56" s="1">
        <v>56.928055555555552</v>
      </c>
      <c r="O56" s="1">
        <v>431724</v>
      </c>
      <c r="P56" s="1">
        <v>6309940</v>
      </c>
      <c r="Q56" s="2" t="s">
        <v>122</v>
      </c>
    </row>
    <row r="57" spans="1:18" hidden="1" x14ac:dyDescent="0.25">
      <c r="A57" s="1" t="s">
        <v>48</v>
      </c>
      <c r="B57" s="2" t="s">
        <v>17</v>
      </c>
      <c r="C57" s="2" t="s">
        <v>18</v>
      </c>
      <c r="D57" s="1" t="s">
        <v>3</v>
      </c>
      <c r="E57" s="1" t="s">
        <v>148</v>
      </c>
      <c r="F57" s="1" t="s">
        <v>8</v>
      </c>
      <c r="G57" s="1">
        <v>2316</v>
      </c>
      <c r="H57" s="4" t="s">
        <v>19</v>
      </c>
      <c r="I57" s="5" t="s">
        <v>117</v>
      </c>
      <c r="J57" s="1" t="s">
        <v>149</v>
      </c>
      <c r="L57" s="5" t="s">
        <v>98</v>
      </c>
      <c r="M57" s="1">
        <v>56.928055555555552</v>
      </c>
      <c r="N57" s="1">
        <v>56.928055555555552</v>
      </c>
      <c r="O57" s="1">
        <v>431724</v>
      </c>
      <c r="P57" s="1">
        <v>6309940</v>
      </c>
      <c r="Q57" s="2" t="s">
        <v>122</v>
      </c>
    </row>
    <row r="58" spans="1:18" hidden="1" x14ac:dyDescent="0.25">
      <c r="A58" s="1" t="s">
        <v>48</v>
      </c>
      <c r="B58" s="2" t="s">
        <v>21</v>
      </c>
      <c r="C58" s="2" t="s">
        <v>22</v>
      </c>
      <c r="D58" s="1" t="s">
        <v>3</v>
      </c>
      <c r="E58" s="1" t="s">
        <v>148</v>
      </c>
      <c r="F58" s="1" t="s">
        <v>8</v>
      </c>
      <c r="G58" s="1">
        <v>2594</v>
      </c>
      <c r="H58" s="4">
        <v>10</v>
      </c>
      <c r="I58" s="5" t="s">
        <v>47</v>
      </c>
      <c r="J58" s="1" t="s">
        <v>149</v>
      </c>
      <c r="L58" s="5" t="s">
        <v>98</v>
      </c>
      <c r="M58" s="1">
        <v>56.909722222222221</v>
      </c>
      <c r="N58" s="1">
        <v>56.909722222222221</v>
      </c>
      <c r="O58" s="1">
        <v>428830</v>
      </c>
      <c r="P58" s="1">
        <v>6307959</v>
      </c>
      <c r="Q58" s="2" t="s">
        <v>122</v>
      </c>
    </row>
    <row r="59" spans="1:18" hidden="1" x14ac:dyDescent="0.25">
      <c r="A59" s="1" t="s">
        <v>48</v>
      </c>
      <c r="B59" s="2" t="s">
        <v>21</v>
      </c>
      <c r="C59" s="2" t="s">
        <v>22</v>
      </c>
      <c r="D59" s="1" t="s">
        <v>3</v>
      </c>
      <c r="E59" s="1" t="s">
        <v>148</v>
      </c>
      <c r="F59" s="1" t="s">
        <v>12</v>
      </c>
      <c r="G59" s="1">
        <v>1806</v>
      </c>
      <c r="H59" s="4">
        <v>2</v>
      </c>
      <c r="I59" s="5" t="s">
        <v>5</v>
      </c>
      <c r="J59" s="1" t="s">
        <v>149</v>
      </c>
      <c r="L59" s="5" t="s">
        <v>98</v>
      </c>
      <c r="M59" s="1">
        <v>56.909722222222221</v>
      </c>
      <c r="N59" s="1">
        <v>56.909722222222221</v>
      </c>
      <c r="O59" s="1">
        <v>428830</v>
      </c>
      <c r="P59" s="1">
        <v>6307959</v>
      </c>
      <c r="Q59" s="2" t="s">
        <v>122</v>
      </c>
      <c r="R59" s="2" t="s">
        <v>119</v>
      </c>
    </row>
    <row r="60" spans="1:18" hidden="1" x14ac:dyDescent="0.25">
      <c r="A60" s="1" t="s">
        <v>48</v>
      </c>
      <c r="B60" s="2" t="s">
        <v>21</v>
      </c>
      <c r="C60" s="2" t="s">
        <v>22</v>
      </c>
      <c r="D60" s="1" t="s">
        <v>3</v>
      </c>
      <c r="E60" s="1" t="s">
        <v>148</v>
      </c>
      <c r="F60" s="1" t="s">
        <v>12</v>
      </c>
      <c r="G60" s="1">
        <v>1795</v>
      </c>
      <c r="H60" s="4">
        <v>2</v>
      </c>
      <c r="I60" s="5" t="s">
        <v>5</v>
      </c>
      <c r="J60" s="1" t="s">
        <v>149</v>
      </c>
      <c r="L60" s="5" t="s">
        <v>98</v>
      </c>
      <c r="M60" s="1">
        <v>56.909722222222221</v>
      </c>
      <c r="N60" s="1">
        <v>56.909722222222221</v>
      </c>
      <c r="O60" s="1">
        <v>428830</v>
      </c>
      <c r="P60" s="1">
        <v>6307959</v>
      </c>
      <c r="Q60" s="2" t="s">
        <v>122</v>
      </c>
      <c r="R60" s="2" t="s">
        <v>119</v>
      </c>
    </row>
    <row r="61" spans="1:18" hidden="1" x14ac:dyDescent="0.25">
      <c r="A61" s="1" t="s">
        <v>48</v>
      </c>
      <c r="B61" s="2" t="s">
        <v>21</v>
      </c>
      <c r="C61" s="2" t="s">
        <v>22</v>
      </c>
      <c r="D61" s="1" t="s">
        <v>3</v>
      </c>
      <c r="E61" s="1" t="s">
        <v>148</v>
      </c>
      <c r="F61" s="1" t="s">
        <v>12</v>
      </c>
      <c r="G61" s="1">
        <v>1797</v>
      </c>
      <c r="H61" s="4">
        <v>2</v>
      </c>
      <c r="I61" s="5" t="s">
        <v>5</v>
      </c>
      <c r="J61" s="1" t="s">
        <v>149</v>
      </c>
      <c r="L61" s="5" t="s">
        <v>98</v>
      </c>
      <c r="M61" s="1">
        <v>56.909722222222221</v>
      </c>
      <c r="N61" s="1">
        <v>56.909722222222221</v>
      </c>
      <c r="O61" s="1">
        <v>428830</v>
      </c>
      <c r="P61" s="1">
        <v>6307959</v>
      </c>
      <c r="Q61" s="2" t="s">
        <v>122</v>
      </c>
      <c r="R61" s="2" t="s">
        <v>119</v>
      </c>
    </row>
    <row r="62" spans="1:18" hidden="1" x14ac:dyDescent="0.25">
      <c r="A62" s="1" t="s">
        <v>48</v>
      </c>
      <c r="B62" s="2" t="s">
        <v>21</v>
      </c>
      <c r="C62" s="2" t="s">
        <v>22</v>
      </c>
      <c r="D62" s="1" t="s">
        <v>3</v>
      </c>
      <c r="E62" s="1" t="s">
        <v>148</v>
      </c>
      <c r="F62" s="1" t="s">
        <v>12</v>
      </c>
      <c r="G62" s="1">
        <v>1791</v>
      </c>
      <c r="H62" s="4">
        <v>2</v>
      </c>
      <c r="I62" s="5" t="s">
        <v>5</v>
      </c>
      <c r="J62" s="1" t="s">
        <v>149</v>
      </c>
      <c r="L62" s="5" t="s">
        <v>98</v>
      </c>
      <c r="M62" s="1">
        <v>56.909722222222221</v>
      </c>
      <c r="N62" s="1">
        <v>56.909722222222221</v>
      </c>
      <c r="O62" s="1">
        <v>428830</v>
      </c>
      <c r="P62" s="1">
        <v>6307959</v>
      </c>
      <c r="Q62" s="2" t="s">
        <v>122</v>
      </c>
      <c r="R62" s="2" t="s">
        <v>119</v>
      </c>
    </row>
    <row r="63" spans="1:18" hidden="1" x14ac:dyDescent="0.25">
      <c r="C63" s="2" t="s">
        <v>28</v>
      </c>
      <c r="D63" s="1" t="s">
        <v>3</v>
      </c>
      <c r="E63" s="1" t="s">
        <v>251</v>
      </c>
      <c r="F63" s="1" t="s">
        <v>12</v>
      </c>
      <c r="G63" s="1">
        <v>1830</v>
      </c>
      <c r="H63" s="4" t="s">
        <v>179</v>
      </c>
      <c r="I63" s="5" t="s">
        <v>138</v>
      </c>
      <c r="J63" s="1" t="s">
        <v>149</v>
      </c>
      <c r="L63" s="5" t="s">
        <v>252</v>
      </c>
      <c r="M63" s="1" t="s">
        <v>278</v>
      </c>
      <c r="N63" s="1" t="s">
        <v>278</v>
      </c>
      <c r="Q63" s="2" t="s">
        <v>250</v>
      </c>
    </row>
    <row r="64" spans="1:18" hidden="1" x14ac:dyDescent="0.25">
      <c r="C64" s="2" t="s">
        <v>28</v>
      </c>
      <c r="D64" s="1" t="s">
        <v>3</v>
      </c>
      <c r="E64" s="1" t="s">
        <v>251</v>
      </c>
      <c r="F64" s="1" t="s">
        <v>8</v>
      </c>
      <c r="G64" s="1" t="s">
        <v>253</v>
      </c>
      <c r="I64" s="5" t="s">
        <v>255</v>
      </c>
      <c r="J64" s="1" t="s">
        <v>149</v>
      </c>
      <c r="L64" s="5" t="s">
        <v>252</v>
      </c>
      <c r="M64" s="1" t="s">
        <v>278</v>
      </c>
      <c r="N64" s="1" t="s">
        <v>278</v>
      </c>
      <c r="Q64" s="2" t="s">
        <v>254</v>
      </c>
    </row>
    <row r="65" spans="1:18" hidden="1" x14ac:dyDescent="0.25">
      <c r="A65" s="1" t="s">
        <v>48</v>
      </c>
      <c r="B65" s="2" t="s">
        <v>42</v>
      </c>
      <c r="C65" s="2" t="s">
        <v>43</v>
      </c>
      <c r="D65" s="1" t="s">
        <v>3</v>
      </c>
      <c r="E65" s="1" t="s">
        <v>148</v>
      </c>
      <c r="F65" s="1" t="s">
        <v>8</v>
      </c>
      <c r="G65" s="1">
        <v>2592</v>
      </c>
      <c r="H65" s="4" t="s">
        <v>216</v>
      </c>
      <c r="I65" s="5" t="s">
        <v>47</v>
      </c>
      <c r="J65" s="1" t="s">
        <v>104</v>
      </c>
      <c r="K65" s="1" t="s">
        <v>215</v>
      </c>
      <c r="L65" s="5" t="s">
        <v>133</v>
      </c>
      <c r="M65" s="1">
        <v>-104.9825</v>
      </c>
      <c r="N65" s="1">
        <v>57.483888888888892</v>
      </c>
      <c r="O65" s="1">
        <v>501020</v>
      </c>
      <c r="P65" s="1">
        <v>6371271</v>
      </c>
      <c r="Q65" s="2" t="s">
        <v>124</v>
      </c>
      <c r="R65" s="2" t="s">
        <v>126</v>
      </c>
    </row>
    <row r="66" spans="1:18" hidden="1" x14ac:dyDescent="0.25">
      <c r="B66" t="s">
        <v>223</v>
      </c>
      <c r="C66" t="s">
        <v>136</v>
      </c>
      <c r="D66" s="1" t="s">
        <v>3</v>
      </c>
      <c r="E66" s="1" t="s">
        <v>135</v>
      </c>
      <c r="F66" s="1" t="s">
        <v>12</v>
      </c>
      <c r="G66" s="7">
        <v>1814.6</v>
      </c>
      <c r="H66" s="4">
        <v>1.4</v>
      </c>
      <c r="I66" s="5" t="s">
        <v>138</v>
      </c>
      <c r="J66" s="1" t="s">
        <v>104</v>
      </c>
      <c r="K66" s="1" t="s">
        <v>230</v>
      </c>
      <c r="L66" s="5" t="s">
        <v>133</v>
      </c>
      <c r="M66" t="s">
        <v>278</v>
      </c>
      <c r="N66" t="s">
        <v>278</v>
      </c>
      <c r="O66"/>
      <c r="P66"/>
      <c r="Q66" s="2" t="s">
        <v>137</v>
      </c>
    </row>
    <row r="67" spans="1:18" hidden="1" x14ac:dyDescent="0.25">
      <c r="B67" t="s">
        <v>223</v>
      </c>
      <c r="C67" t="s">
        <v>136</v>
      </c>
      <c r="D67" s="1" t="s">
        <v>3</v>
      </c>
      <c r="E67" s="1" t="s">
        <v>135</v>
      </c>
      <c r="F67" s="1" t="s">
        <v>8</v>
      </c>
      <c r="G67" s="7">
        <v>1811.5</v>
      </c>
      <c r="H67" s="4">
        <v>5</v>
      </c>
      <c r="I67" s="5" t="s">
        <v>232</v>
      </c>
      <c r="J67" s="1" t="s">
        <v>104</v>
      </c>
      <c r="K67" s="1" t="s">
        <v>230</v>
      </c>
      <c r="L67" s="5" t="s">
        <v>133</v>
      </c>
      <c r="M67" t="s">
        <v>278</v>
      </c>
      <c r="N67" t="s">
        <v>278</v>
      </c>
      <c r="O67"/>
      <c r="P67"/>
      <c r="Q67" s="2" t="s">
        <v>137</v>
      </c>
    </row>
    <row r="68" spans="1:18" hidden="1" x14ac:dyDescent="0.25">
      <c r="B68" t="s">
        <v>223</v>
      </c>
      <c r="C68" t="s">
        <v>134</v>
      </c>
      <c r="D68" s="1" t="s">
        <v>3</v>
      </c>
      <c r="E68" s="1" t="s">
        <v>135</v>
      </c>
      <c r="F68" s="1" t="s">
        <v>8</v>
      </c>
      <c r="G68" s="7">
        <v>1819.4</v>
      </c>
      <c r="H68" s="4" t="s">
        <v>231</v>
      </c>
      <c r="I68" s="5" t="s">
        <v>138</v>
      </c>
      <c r="J68" s="1" t="s">
        <v>104</v>
      </c>
      <c r="K68" s="1" t="s">
        <v>219</v>
      </c>
      <c r="L68" s="5" t="s">
        <v>133</v>
      </c>
      <c r="M68" t="s">
        <v>278</v>
      </c>
      <c r="N68" t="s">
        <v>278</v>
      </c>
      <c r="O68"/>
      <c r="P68"/>
      <c r="Q68" s="2" t="s">
        <v>137</v>
      </c>
    </row>
    <row r="69" spans="1:18" hidden="1" x14ac:dyDescent="0.25">
      <c r="B69" t="s">
        <v>224</v>
      </c>
      <c r="C69" t="s">
        <v>134</v>
      </c>
      <c r="D69" s="1" t="s">
        <v>3</v>
      </c>
      <c r="E69" s="1" t="s">
        <v>135</v>
      </c>
      <c r="F69" s="1" t="s">
        <v>12</v>
      </c>
      <c r="G69" s="7">
        <v>1816</v>
      </c>
      <c r="H69" s="4">
        <v>1</v>
      </c>
      <c r="I69" s="5" t="s">
        <v>138</v>
      </c>
      <c r="J69" s="1" t="s">
        <v>104</v>
      </c>
      <c r="K69" s="1" t="s">
        <v>219</v>
      </c>
      <c r="L69" s="5" t="s">
        <v>133</v>
      </c>
      <c r="M69" t="s">
        <v>278</v>
      </c>
      <c r="N69" t="s">
        <v>278</v>
      </c>
      <c r="O69"/>
      <c r="P69"/>
      <c r="Q69" s="2" t="s">
        <v>137</v>
      </c>
    </row>
    <row r="70" spans="1:18" hidden="1" x14ac:dyDescent="0.25">
      <c r="A70" s="1" t="s">
        <v>90</v>
      </c>
      <c r="B70" s="2" t="s">
        <v>66</v>
      </c>
      <c r="C70" s="2" t="s">
        <v>67</v>
      </c>
      <c r="D70" s="1" t="s">
        <v>3</v>
      </c>
      <c r="E70" s="1" t="s">
        <v>148</v>
      </c>
      <c r="F70" s="1" t="s">
        <v>8</v>
      </c>
      <c r="G70" s="1" t="s">
        <v>68</v>
      </c>
      <c r="H70" s="4" t="s">
        <v>15</v>
      </c>
      <c r="I70" s="5" t="s">
        <v>47</v>
      </c>
      <c r="J70" s="1" t="s">
        <v>104</v>
      </c>
      <c r="L70" s="5" t="s">
        <v>172</v>
      </c>
      <c r="M70" s="1">
        <v>-103.90194444444445</v>
      </c>
      <c r="N70" s="1">
        <v>58.225277777777777</v>
      </c>
      <c r="O70" s="1">
        <v>564493</v>
      </c>
      <c r="P70" s="1">
        <v>6454320</v>
      </c>
      <c r="Q70" s="2" t="s">
        <v>122</v>
      </c>
      <c r="R70" s="2" t="s">
        <v>129</v>
      </c>
    </row>
    <row r="71" spans="1:18" hidden="1" x14ac:dyDescent="0.25">
      <c r="A71" s="1" t="s">
        <v>90</v>
      </c>
      <c r="B71" s="2" t="s">
        <v>66</v>
      </c>
      <c r="C71" s="2" t="s">
        <v>67</v>
      </c>
      <c r="D71" s="1" t="s">
        <v>3</v>
      </c>
      <c r="E71" s="1" t="s">
        <v>148</v>
      </c>
      <c r="F71" s="1" t="s">
        <v>4</v>
      </c>
      <c r="G71" s="1">
        <v>1752</v>
      </c>
      <c r="H71" s="4">
        <v>2</v>
      </c>
      <c r="I71" s="5" t="s">
        <v>5</v>
      </c>
      <c r="J71" s="1" t="s">
        <v>104</v>
      </c>
      <c r="L71" s="5" t="s">
        <v>172</v>
      </c>
      <c r="M71" s="1">
        <v>-103.90194444444445</v>
      </c>
      <c r="N71" s="1">
        <v>58.225277777777777</v>
      </c>
      <c r="O71" s="1">
        <v>564493</v>
      </c>
      <c r="P71" s="1">
        <v>6454320</v>
      </c>
      <c r="Q71" s="2" t="s">
        <v>122</v>
      </c>
      <c r="R71" s="2" t="s">
        <v>129</v>
      </c>
    </row>
    <row r="72" spans="1:18" hidden="1" x14ac:dyDescent="0.25">
      <c r="B72" t="s">
        <v>226</v>
      </c>
      <c r="C72" t="s">
        <v>140</v>
      </c>
      <c r="D72" s="1" t="s">
        <v>3</v>
      </c>
      <c r="E72" s="1" t="s">
        <v>135</v>
      </c>
      <c r="F72" s="1" t="s">
        <v>12</v>
      </c>
      <c r="G72" s="7">
        <v>1791.3</v>
      </c>
      <c r="H72" s="4" t="s">
        <v>178</v>
      </c>
      <c r="I72" s="5" t="s">
        <v>232</v>
      </c>
      <c r="J72" s="1" t="s">
        <v>104</v>
      </c>
      <c r="K72" s="1" t="s">
        <v>220</v>
      </c>
      <c r="L72" s="5" t="s">
        <v>139</v>
      </c>
      <c r="M72" t="s">
        <v>278</v>
      </c>
      <c r="N72" t="s">
        <v>278</v>
      </c>
      <c r="O72"/>
      <c r="P72"/>
      <c r="Q72" s="2" t="s">
        <v>137</v>
      </c>
    </row>
    <row r="73" spans="1:18" hidden="1" x14ac:dyDescent="0.25">
      <c r="B73" t="s">
        <v>225</v>
      </c>
      <c r="C73" t="s">
        <v>140</v>
      </c>
      <c r="D73" s="1" t="s">
        <v>3</v>
      </c>
      <c r="E73" s="1" t="s">
        <v>135</v>
      </c>
      <c r="F73" s="1" t="s">
        <v>8</v>
      </c>
      <c r="G73" s="7">
        <v>2731</v>
      </c>
      <c r="H73" s="4">
        <v>25</v>
      </c>
      <c r="I73" s="5" t="s">
        <v>138</v>
      </c>
      <c r="J73" s="1" t="s">
        <v>104</v>
      </c>
      <c r="K73" s="1" t="s">
        <v>220</v>
      </c>
      <c r="L73" s="5" t="s">
        <v>139</v>
      </c>
      <c r="M73" t="s">
        <v>278</v>
      </c>
      <c r="N73" t="s">
        <v>278</v>
      </c>
      <c r="O73"/>
      <c r="P73"/>
      <c r="Q73" s="2" t="s">
        <v>137</v>
      </c>
    </row>
    <row r="74" spans="1:18" hidden="1" x14ac:dyDescent="0.25">
      <c r="B74" t="s">
        <v>227</v>
      </c>
      <c r="C74" t="s">
        <v>136</v>
      </c>
      <c r="D74" s="1" t="s">
        <v>3</v>
      </c>
      <c r="E74" s="1" t="s">
        <v>135</v>
      </c>
      <c r="F74" s="1" t="s">
        <v>8</v>
      </c>
      <c r="G74" s="7">
        <v>1816</v>
      </c>
      <c r="H74" s="4">
        <v>7</v>
      </c>
      <c r="I74" s="5" t="s">
        <v>138</v>
      </c>
      <c r="J74" s="1" t="s">
        <v>104</v>
      </c>
      <c r="K74" s="1" t="s">
        <v>221</v>
      </c>
      <c r="L74" s="5" t="s">
        <v>139</v>
      </c>
      <c r="M74" t="s">
        <v>278</v>
      </c>
      <c r="N74" t="s">
        <v>278</v>
      </c>
      <c r="O74"/>
      <c r="P74"/>
      <c r="Q74" s="2" t="s">
        <v>137</v>
      </c>
    </row>
    <row r="75" spans="1:18" hidden="1" x14ac:dyDescent="0.25">
      <c r="B75" t="s">
        <v>228</v>
      </c>
      <c r="C75" t="s">
        <v>136</v>
      </c>
      <c r="D75" s="1" t="s">
        <v>3</v>
      </c>
      <c r="E75" s="1" t="s">
        <v>135</v>
      </c>
      <c r="F75" s="1" t="s">
        <v>12</v>
      </c>
      <c r="G75" s="7">
        <v>1792.4</v>
      </c>
      <c r="H75" s="4">
        <v>1.2</v>
      </c>
      <c r="I75" s="5" t="s">
        <v>233</v>
      </c>
      <c r="J75" s="1" t="s">
        <v>104</v>
      </c>
      <c r="K75" s="1" t="s">
        <v>221</v>
      </c>
      <c r="L75" s="5" t="s">
        <v>139</v>
      </c>
      <c r="M75" t="s">
        <v>278</v>
      </c>
      <c r="N75" t="s">
        <v>278</v>
      </c>
      <c r="O75"/>
      <c r="P75"/>
      <c r="Q75" s="2" t="s">
        <v>137</v>
      </c>
    </row>
    <row r="76" spans="1:18" hidden="1" x14ac:dyDescent="0.25">
      <c r="A76" s="1" t="s">
        <v>48</v>
      </c>
      <c r="B76" s="2" t="s">
        <v>41</v>
      </c>
      <c r="C76" s="2" t="s">
        <v>38</v>
      </c>
      <c r="D76" s="1" t="s">
        <v>3</v>
      </c>
      <c r="E76" s="1" t="s">
        <v>148</v>
      </c>
      <c r="F76" s="1" t="s">
        <v>8</v>
      </c>
      <c r="G76" s="1">
        <v>2593</v>
      </c>
      <c r="H76" s="4">
        <v>5</v>
      </c>
      <c r="I76" s="5" t="s">
        <v>47</v>
      </c>
      <c r="J76" s="1" t="s">
        <v>104</v>
      </c>
      <c r="K76" s="1" t="s">
        <v>218</v>
      </c>
      <c r="L76" s="5" t="s">
        <v>145</v>
      </c>
      <c r="M76" s="1">
        <v>-105.05305555555556</v>
      </c>
      <c r="N76" s="1">
        <v>57.47</v>
      </c>
      <c r="O76" s="1">
        <v>496791</v>
      </c>
      <c r="P76" s="1">
        <v>6369707</v>
      </c>
      <c r="Q76" s="2" t="s">
        <v>124</v>
      </c>
    </row>
    <row r="77" spans="1:18" hidden="1" x14ac:dyDescent="0.25">
      <c r="A77" s="1" t="s">
        <v>48</v>
      </c>
      <c r="B77" s="2" t="s">
        <v>41</v>
      </c>
      <c r="C77" s="2" t="s">
        <v>38</v>
      </c>
      <c r="D77" s="1" t="s">
        <v>3</v>
      </c>
      <c r="E77" s="1" t="s">
        <v>148</v>
      </c>
      <c r="F77" s="1" t="s">
        <v>12</v>
      </c>
      <c r="G77" s="1">
        <v>1819</v>
      </c>
      <c r="H77" s="4">
        <v>2</v>
      </c>
      <c r="I77" s="5" t="s">
        <v>5</v>
      </c>
      <c r="J77" s="1" t="s">
        <v>104</v>
      </c>
      <c r="K77" s="1" t="s">
        <v>217</v>
      </c>
      <c r="L77" s="5" t="s">
        <v>145</v>
      </c>
      <c r="M77" s="1">
        <v>-105.05305555555556</v>
      </c>
      <c r="N77" s="1">
        <v>57.47</v>
      </c>
      <c r="O77" s="1">
        <v>496791</v>
      </c>
      <c r="P77" s="1">
        <v>6369707</v>
      </c>
      <c r="Q77" s="2" t="s">
        <v>124</v>
      </c>
    </row>
    <row r="78" spans="1:18" hidden="1" x14ac:dyDescent="0.25">
      <c r="C78" s="2" t="s">
        <v>28</v>
      </c>
      <c r="D78" s="1" t="s">
        <v>3</v>
      </c>
      <c r="E78" s="1" t="s">
        <v>257</v>
      </c>
      <c r="F78" s="1" t="s">
        <v>241</v>
      </c>
      <c r="G78" s="1">
        <v>1756</v>
      </c>
      <c r="H78" s="4" t="s">
        <v>268</v>
      </c>
      <c r="L78" s="5" t="s">
        <v>266</v>
      </c>
      <c r="M78" s="1" t="s">
        <v>278</v>
      </c>
      <c r="N78" s="1" t="s">
        <v>278</v>
      </c>
      <c r="Q78" s="3" t="s">
        <v>256</v>
      </c>
    </row>
    <row r="79" spans="1:18" hidden="1" x14ac:dyDescent="0.25">
      <c r="A79" s="1" t="s">
        <v>48</v>
      </c>
      <c r="B79" s="2" t="s">
        <v>31</v>
      </c>
      <c r="C79" s="2" t="s">
        <v>28</v>
      </c>
      <c r="D79" s="1" t="s">
        <v>3</v>
      </c>
      <c r="E79" s="1" t="s">
        <v>148</v>
      </c>
      <c r="F79" s="1" t="s">
        <v>8</v>
      </c>
      <c r="G79" s="1">
        <v>1822</v>
      </c>
      <c r="H79" s="4">
        <v>5</v>
      </c>
      <c r="I79" s="5" t="s">
        <v>47</v>
      </c>
      <c r="J79" s="1" t="s">
        <v>104</v>
      </c>
      <c r="K79" s="1" t="s">
        <v>202</v>
      </c>
      <c r="L79" s="5" t="s">
        <v>111</v>
      </c>
      <c r="M79" s="1">
        <v>57.941666666666663</v>
      </c>
      <c r="N79" s="1">
        <v>57.941666666666663</v>
      </c>
      <c r="O79" s="1">
        <v>512466</v>
      </c>
      <c r="P79" s="1">
        <v>6422245</v>
      </c>
      <c r="Q79" s="2" t="s">
        <v>124</v>
      </c>
      <c r="R79" s="2" t="s">
        <v>132</v>
      </c>
    </row>
    <row r="80" spans="1:18" hidden="1" x14ac:dyDescent="0.25">
      <c r="A80" s="1" t="s">
        <v>48</v>
      </c>
      <c r="B80" s="2" t="s">
        <v>31</v>
      </c>
      <c r="C80" s="2" t="s">
        <v>28</v>
      </c>
      <c r="D80" s="1" t="s">
        <v>3</v>
      </c>
      <c r="E80" s="1" t="s">
        <v>148</v>
      </c>
      <c r="F80" s="1" t="s">
        <v>8</v>
      </c>
      <c r="G80" s="1">
        <v>1182</v>
      </c>
      <c r="H80" s="4">
        <v>7</v>
      </c>
      <c r="I80" s="5" t="s">
        <v>32</v>
      </c>
      <c r="J80" s="1" t="s">
        <v>104</v>
      </c>
      <c r="K80" s="1" t="s">
        <v>199</v>
      </c>
      <c r="L80" s="5" t="s">
        <v>111</v>
      </c>
      <c r="M80" s="1">
        <v>57.941666666666663</v>
      </c>
      <c r="N80" s="1">
        <v>57.941666666666663</v>
      </c>
      <c r="O80" s="1">
        <v>512466</v>
      </c>
      <c r="P80" s="1">
        <v>6422245</v>
      </c>
      <c r="Q80" s="2" t="s">
        <v>124</v>
      </c>
      <c r="R80" s="2" t="s">
        <v>132</v>
      </c>
    </row>
    <row r="81" spans="1:18" hidden="1" x14ac:dyDescent="0.25">
      <c r="A81" s="1" t="s">
        <v>48</v>
      </c>
      <c r="B81" s="2" t="s">
        <v>31</v>
      </c>
      <c r="C81" s="2" t="s">
        <v>28</v>
      </c>
      <c r="D81" s="1" t="s">
        <v>3</v>
      </c>
      <c r="E81" s="1" t="s">
        <v>148</v>
      </c>
      <c r="F81" s="1" t="s">
        <v>12</v>
      </c>
      <c r="G81" s="1">
        <v>1795</v>
      </c>
      <c r="H81" s="4">
        <v>1</v>
      </c>
      <c r="I81" s="5" t="s">
        <v>5</v>
      </c>
      <c r="J81" s="1" t="s">
        <v>104</v>
      </c>
      <c r="K81" s="1" t="s">
        <v>201</v>
      </c>
      <c r="L81" s="5" t="s">
        <v>111</v>
      </c>
      <c r="M81" s="1">
        <v>57.941666666666663</v>
      </c>
      <c r="N81" s="1">
        <v>57.941666666666663</v>
      </c>
      <c r="O81" s="1">
        <v>512466</v>
      </c>
      <c r="P81" s="1">
        <v>6422245</v>
      </c>
      <c r="Q81" s="2" t="s">
        <v>124</v>
      </c>
      <c r="R81" s="2" t="s">
        <v>132</v>
      </c>
    </row>
    <row r="82" spans="1:18" hidden="1" x14ac:dyDescent="0.25">
      <c r="A82" s="1" t="s">
        <v>48</v>
      </c>
      <c r="B82" s="2" t="s">
        <v>31</v>
      </c>
      <c r="C82" s="2" t="s">
        <v>28</v>
      </c>
      <c r="D82" s="1" t="s">
        <v>3</v>
      </c>
      <c r="E82" s="1" t="s">
        <v>148</v>
      </c>
      <c r="F82" s="1" t="s">
        <v>12</v>
      </c>
      <c r="G82" s="1">
        <v>1806</v>
      </c>
      <c r="H82" s="4">
        <v>1</v>
      </c>
      <c r="I82" s="5" t="s">
        <v>5</v>
      </c>
      <c r="J82" s="1" t="s">
        <v>104</v>
      </c>
      <c r="K82" s="1" t="s">
        <v>200</v>
      </c>
      <c r="L82" s="5" t="s">
        <v>111</v>
      </c>
      <c r="M82" s="1">
        <v>57.941666666666663</v>
      </c>
      <c r="N82" s="1">
        <v>57.941666666666663</v>
      </c>
      <c r="O82" s="1">
        <v>512466</v>
      </c>
      <c r="P82" s="1">
        <v>6422245</v>
      </c>
      <c r="Q82" s="2" t="s">
        <v>124</v>
      </c>
      <c r="R82" s="2" t="s">
        <v>132</v>
      </c>
    </row>
    <row r="83" spans="1:18" hidden="1" x14ac:dyDescent="0.25">
      <c r="A83" s="1" t="s">
        <v>90</v>
      </c>
      <c r="B83" s="2" t="s">
        <v>87</v>
      </c>
      <c r="C83" s="2" t="s">
        <v>88</v>
      </c>
      <c r="D83" s="1" t="s">
        <v>3</v>
      </c>
      <c r="E83" s="1" t="s">
        <v>148</v>
      </c>
      <c r="F83" s="1" t="s">
        <v>8</v>
      </c>
      <c r="G83" s="1" t="s">
        <v>89</v>
      </c>
      <c r="H83" s="4" t="s">
        <v>158</v>
      </c>
      <c r="I83" s="5" t="s">
        <v>162</v>
      </c>
      <c r="J83" s="1" t="s">
        <v>149</v>
      </c>
      <c r="L83" s="5" t="s">
        <v>101</v>
      </c>
      <c r="M83" s="1" t="s">
        <v>278</v>
      </c>
      <c r="N83" s="1" t="s">
        <v>278</v>
      </c>
      <c r="Q83" s="2" t="s">
        <v>122</v>
      </c>
    </row>
    <row r="84" spans="1:18" hidden="1" x14ac:dyDescent="0.25">
      <c r="A84" s="1" t="s">
        <v>90</v>
      </c>
      <c r="B84" s="2" t="s">
        <v>87</v>
      </c>
      <c r="C84" s="2" t="s">
        <v>88</v>
      </c>
      <c r="D84" s="1" t="s">
        <v>3</v>
      </c>
      <c r="E84" s="1" t="s">
        <v>148</v>
      </c>
      <c r="F84" s="1" t="s">
        <v>8</v>
      </c>
      <c r="G84" s="1">
        <v>1877</v>
      </c>
      <c r="H84" s="4" t="s">
        <v>160</v>
      </c>
      <c r="I84" s="5" t="s">
        <v>161</v>
      </c>
      <c r="J84" s="1" t="s">
        <v>149</v>
      </c>
      <c r="L84" s="5" t="s">
        <v>101</v>
      </c>
      <c r="M84" s="1" t="s">
        <v>278</v>
      </c>
      <c r="N84" s="1" t="s">
        <v>278</v>
      </c>
      <c r="Q84" s="2" t="s">
        <v>122</v>
      </c>
    </row>
    <row r="85" spans="1:18" hidden="1" x14ac:dyDescent="0.25">
      <c r="A85" s="1" t="s">
        <v>48</v>
      </c>
      <c r="B85" s="2" t="s">
        <v>44</v>
      </c>
      <c r="C85" s="2" t="s">
        <v>45</v>
      </c>
      <c r="D85" s="1" t="s">
        <v>3</v>
      </c>
      <c r="E85" s="1" t="s">
        <v>148</v>
      </c>
      <c r="F85" s="1" t="s">
        <v>8</v>
      </c>
      <c r="G85" s="1">
        <v>2786</v>
      </c>
      <c r="H85" s="4">
        <v>7</v>
      </c>
      <c r="I85" s="5" t="s">
        <v>47</v>
      </c>
      <c r="J85" s="1" t="s">
        <v>104</v>
      </c>
      <c r="K85" s="1" t="s">
        <v>207</v>
      </c>
      <c r="L85" s="5" t="s">
        <v>114</v>
      </c>
      <c r="M85" s="1">
        <v>-105.57694444444444</v>
      </c>
      <c r="N85" s="1">
        <v>57.220277777777781</v>
      </c>
      <c r="O85" s="1">
        <v>465124</v>
      </c>
      <c r="P85" s="1">
        <v>6342069</v>
      </c>
      <c r="Q85" s="2" t="s">
        <v>124</v>
      </c>
      <c r="R85" s="2" t="s">
        <v>125</v>
      </c>
    </row>
    <row r="86" spans="1:18" hidden="1" x14ac:dyDescent="0.25">
      <c r="A86" s="1" t="s">
        <v>48</v>
      </c>
      <c r="B86" s="2" t="s">
        <v>44</v>
      </c>
      <c r="C86" s="2" t="s">
        <v>45</v>
      </c>
      <c r="D86" s="1" t="s">
        <v>3</v>
      </c>
      <c r="E86" s="1" t="s">
        <v>148</v>
      </c>
      <c r="F86" s="1" t="s">
        <v>8</v>
      </c>
      <c r="G86" s="1">
        <v>1813</v>
      </c>
      <c r="H86" s="4">
        <v>6</v>
      </c>
      <c r="I86" s="5" t="s">
        <v>5</v>
      </c>
      <c r="J86" s="1" t="s">
        <v>104</v>
      </c>
      <c r="K86" s="1" t="s">
        <v>205</v>
      </c>
      <c r="L86" s="5" t="s">
        <v>114</v>
      </c>
      <c r="M86" s="1">
        <v>-105.57694444444444</v>
      </c>
      <c r="N86" s="1">
        <v>57.220277777777781</v>
      </c>
      <c r="O86" s="1">
        <v>465124</v>
      </c>
      <c r="P86" s="1">
        <v>6342069</v>
      </c>
      <c r="Q86" s="2" t="s">
        <v>124</v>
      </c>
      <c r="R86" s="2" t="s">
        <v>125</v>
      </c>
    </row>
    <row r="87" spans="1:18" hidden="1" x14ac:dyDescent="0.25">
      <c r="A87" s="1" t="s">
        <v>48</v>
      </c>
      <c r="B87" s="2" t="s">
        <v>44</v>
      </c>
      <c r="C87" s="2" t="s">
        <v>45</v>
      </c>
      <c r="D87" s="1" t="s">
        <v>3</v>
      </c>
      <c r="E87" s="1" t="s">
        <v>148</v>
      </c>
      <c r="F87" s="1" t="s">
        <v>12</v>
      </c>
      <c r="G87" s="1">
        <v>1814</v>
      </c>
      <c r="H87" s="4">
        <v>1</v>
      </c>
      <c r="I87" s="5" t="s">
        <v>5</v>
      </c>
      <c r="J87" s="1" t="s">
        <v>104</v>
      </c>
      <c r="K87" s="1" t="s">
        <v>206</v>
      </c>
      <c r="L87" s="5" t="s">
        <v>114</v>
      </c>
      <c r="M87" s="1">
        <v>-105.57694444444444</v>
      </c>
      <c r="N87" s="1">
        <v>57.220277777777781</v>
      </c>
      <c r="O87" s="1">
        <v>465124</v>
      </c>
      <c r="P87" s="1">
        <v>6342069</v>
      </c>
      <c r="Q87" s="2" t="s">
        <v>124</v>
      </c>
      <c r="R87" s="2" t="s">
        <v>125</v>
      </c>
    </row>
    <row r="88" spans="1:18" hidden="1" x14ac:dyDescent="0.25">
      <c r="A88" s="1" t="s">
        <v>48</v>
      </c>
      <c r="B88" s="2" t="s">
        <v>46</v>
      </c>
      <c r="C88" s="2" t="s">
        <v>28</v>
      </c>
      <c r="D88" s="1" t="s">
        <v>3</v>
      </c>
      <c r="E88" s="1" t="s">
        <v>148</v>
      </c>
      <c r="F88" s="1" t="s">
        <v>12</v>
      </c>
      <c r="G88" s="1">
        <v>1812</v>
      </c>
      <c r="H88" s="4">
        <v>2</v>
      </c>
      <c r="I88" s="5" t="s">
        <v>47</v>
      </c>
      <c r="J88" s="1" t="s">
        <v>104</v>
      </c>
      <c r="K88" s="1" t="s">
        <v>208</v>
      </c>
      <c r="L88" s="5" t="s">
        <v>114</v>
      </c>
      <c r="M88" s="1">
        <v>57.206944444444446</v>
      </c>
      <c r="N88" s="1">
        <v>57.206944444444446</v>
      </c>
      <c r="O88" s="1">
        <v>465145</v>
      </c>
      <c r="P88" s="1">
        <v>6340577</v>
      </c>
      <c r="Q88" s="2" t="s">
        <v>124</v>
      </c>
      <c r="R88" s="2" t="s">
        <v>125</v>
      </c>
    </row>
    <row r="89" spans="1:18" hidden="1" x14ac:dyDescent="0.25">
      <c r="B89"/>
      <c r="C89" t="s">
        <v>143</v>
      </c>
      <c r="D89" s="1" t="s">
        <v>3</v>
      </c>
      <c r="E89" s="1" t="s">
        <v>135</v>
      </c>
      <c r="F89" s="1" t="s">
        <v>8</v>
      </c>
      <c r="G89" s="7">
        <v>2612</v>
      </c>
      <c r="H89" s="4">
        <v>22</v>
      </c>
      <c r="I89" s="5" t="s">
        <v>234</v>
      </c>
      <c r="J89" s="1" t="s">
        <v>104</v>
      </c>
      <c r="L89" s="5" t="s">
        <v>142</v>
      </c>
      <c r="M89" t="s">
        <v>278</v>
      </c>
      <c r="N89" t="s">
        <v>278</v>
      </c>
      <c r="O89"/>
      <c r="P89"/>
      <c r="Q89" s="2" t="s">
        <v>137</v>
      </c>
    </row>
    <row r="90" spans="1:18" hidden="1" x14ac:dyDescent="0.25">
      <c r="B90"/>
      <c r="C90" t="s">
        <v>143</v>
      </c>
      <c r="D90" s="1" t="s">
        <v>3</v>
      </c>
      <c r="E90" s="1" t="s">
        <v>135</v>
      </c>
      <c r="F90" s="1" t="s">
        <v>12</v>
      </c>
      <c r="G90" s="7">
        <v>1803</v>
      </c>
      <c r="H90" s="4">
        <v>1</v>
      </c>
      <c r="I90" s="5" t="s">
        <v>235</v>
      </c>
      <c r="J90" s="1" t="s">
        <v>104</v>
      </c>
      <c r="L90" s="5" t="s">
        <v>142</v>
      </c>
      <c r="M90" t="s">
        <v>278</v>
      </c>
      <c r="N90" t="s">
        <v>278</v>
      </c>
      <c r="O90"/>
      <c r="P90"/>
      <c r="Q90" s="2" t="s">
        <v>137</v>
      </c>
    </row>
    <row r="91" spans="1:18" hidden="1" x14ac:dyDescent="0.25">
      <c r="B91"/>
      <c r="C91" t="s">
        <v>144</v>
      </c>
      <c r="D91" s="1" t="s">
        <v>3</v>
      </c>
      <c r="E91" s="1" t="s">
        <v>135</v>
      </c>
      <c r="F91" s="1" t="s">
        <v>8</v>
      </c>
      <c r="G91" s="7">
        <v>2583</v>
      </c>
      <c r="H91" s="4">
        <v>14</v>
      </c>
      <c r="I91" s="5" t="s">
        <v>236</v>
      </c>
      <c r="J91" s="1" t="s">
        <v>104</v>
      </c>
      <c r="L91" s="5" t="s">
        <v>142</v>
      </c>
      <c r="M91" t="s">
        <v>278</v>
      </c>
      <c r="N91" t="s">
        <v>278</v>
      </c>
      <c r="O91"/>
      <c r="P91"/>
      <c r="Q91" s="2" t="s">
        <v>137</v>
      </c>
    </row>
    <row r="92" spans="1:18" hidden="1" x14ac:dyDescent="0.25">
      <c r="B92"/>
      <c r="C92" t="s">
        <v>144</v>
      </c>
      <c r="D92" s="1" t="s">
        <v>3</v>
      </c>
      <c r="E92" s="1" t="s">
        <v>135</v>
      </c>
      <c r="F92" s="1" t="s">
        <v>12</v>
      </c>
      <c r="G92" s="7">
        <v>1821.9</v>
      </c>
      <c r="H92" s="4">
        <v>2</v>
      </c>
      <c r="I92" s="5" t="s">
        <v>237</v>
      </c>
      <c r="J92" s="1" t="s">
        <v>104</v>
      </c>
      <c r="L92" s="5" t="s">
        <v>142</v>
      </c>
      <c r="M92" t="s">
        <v>278</v>
      </c>
      <c r="N92" t="s">
        <v>278</v>
      </c>
      <c r="O92"/>
      <c r="P92"/>
      <c r="Q92" s="2" t="s">
        <v>137</v>
      </c>
    </row>
    <row r="93" spans="1:18" hidden="1" x14ac:dyDescent="0.25">
      <c r="A93" s="1" t="s">
        <v>90</v>
      </c>
      <c r="B93" s="2" t="s">
        <v>86</v>
      </c>
      <c r="C93" s="2" t="s">
        <v>7</v>
      </c>
      <c r="D93" s="1" t="s">
        <v>3</v>
      </c>
      <c r="E93" s="1" t="s">
        <v>148</v>
      </c>
      <c r="F93" s="1" t="s">
        <v>8</v>
      </c>
      <c r="G93" s="1">
        <v>1828</v>
      </c>
      <c r="H93" s="4">
        <v>3</v>
      </c>
      <c r="I93" s="5" t="s">
        <v>47</v>
      </c>
      <c r="J93" s="1" t="s">
        <v>149</v>
      </c>
      <c r="L93" s="5" t="s">
        <v>100</v>
      </c>
      <c r="M93" s="1">
        <v>-103.32972222222222</v>
      </c>
      <c r="N93" s="1">
        <v>58.273611111111109</v>
      </c>
      <c r="O93" s="1">
        <v>597963</v>
      </c>
      <c r="P93" s="1">
        <v>6460386</v>
      </c>
      <c r="Q93" s="2" t="s">
        <v>122</v>
      </c>
      <c r="R93" s="2" t="s">
        <v>130</v>
      </c>
    </row>
    <row r="94" spans="1:18" hidden="1" x14ac:dyDescent="0.25">
      <c r="A94" s="1" t="s">
        <v>90</v>
      </c>
      <c r="B94" s="2" t="s">
        <v>86</v>
      </c>
      <c r="C94" s="2" t="s">
        <v>7</v>
      </c>
      <c r="D94" s="1" t="s">
        <v>3</v>
      </c>
      <c r="E94" s="1" t="s">
        <v>148</v>
      </c>
      <c r="F94" s="1" t="s">
        <v>4</v>
      </c>
      <c r="G94" s="1">
        <v>1795</v>
      </c>
      <c r="H94" s="4" t="s">
        <v>156</v>
      </c>
      <c r="I94" s="5" t="s">
        <v>5</v>
      </c>
      <c r="J94" s="1" t="s">
        <v>149</v>
      </c>
      <c r="L94" s="5" t="s">
        <v>100</v>
      </c>
      <c r="M94" s="1">
        <v>-103.32972222222222</v>
      </c>
      <c r="N94" s="1">
        <v>58.273611111111109</v>
      </c>
      <c r="O94" s="1">
        <v>597963</v>
      </c>
      <c r="P94" s="1">
        <v>6460386</v>
      </c>
      <c r="Q94" s="2" t="s">
        <v>122</v>
      </c>
      <c r="R94" s="2" t="s">
        <v>130</v>
      </c>
    </row>
    <row r="95" spans="1:18" hidden="1" x14ac:dyDescent="0.25">
      <c r="A95" s="1" t="s">
        <v>90</v>
      </c>
      <c r="B95" s="2" t="s">
        <v>69</v>
      </c>
      <c r="C95" s="2" t="s">
        <v>2</v>
      </c>
      <c r="D95" s="1" t="s">
        <v>3</v>
      </c>
      <c r="E95" s="1" t="s">
        <v>148</v>
      </c>
      <c r="F95" s="1" t="s">
        <v>8</v>
      </c>
      <c r="G95" s="1">
        <v>2620</v>
      </c>
      <c r="H95" s="4" t="s">
        <v>186</v>
      </c>
      <c r="I95" s="5" t="s">
        <v>47</v>
      </c>
      <c r="J95" s="1" t="s">
        <v>149</v>
      </c>
      <c r="L95" s="5" t="s">
        <v>187</v>
      </c>
      <c r="M95" s="1">
        <v>-103.75694444444444</v>
      </c>
      <c r="N95" s="1">
        <v>58.146666666666668</v>
      </c>
      <c r="O95" s="1">
        <v>573125</v>
      </c>
      <c r="P95" s="1">
        <v>6445480</v>
      </c>
      <c r="Q95" s="2" t="s">
        <v>118</v>
      </c>
    </row>
    <row r="96" spans="1:18" hidden="1" x14ac:dyDescent="0.25">
      <c r="A96" s="1" t="s">
        <v>90</v>
      </c>
      <c r="B96" s="2" t="s">
        <v>69</v>
      </c>
      <c r="C96" s="2" t="s">
        <v>2</v>
      </c>
      <c r="D96" s="1" t="s">
        <v>3</v>
      </c>
      <c r="E96" s="1" t="s">
        <v>148</v>
      </c>
      <c r="F96" s="1" t="s">
        <v>8</v>
      </c>
      <c r="G96" s="1">
        <v>1798</v>
      </c>
      <c r="H96" s="4" t="s">
        <v>188</v>
      </c>
      <c r="I96" s="5" t="s">
        <v>189</v>
      </c>
      <c r="J96" s="1" t="s">
        <v>149</v>
      </c>
      <c r="L96" s="5" t="s">
        <v>187</v>
      </c>
      <c r="M96" s="1">
        <v>-103.75694444444444</v>
      </c>
      <c r="N96" s="1">
        <v>58.146666666666668</v>
      </c>
      <c r="O96" s="1">
        <v>573125</v>
      </c>
      <c r="P96" s="1">
        <v>6445480</v>
      </c>
      <c r="Q96" s="2" t="s">
        <v>118</v>
      </c>
    </row>
    <row r="97" spans="1:18" hidden="1" x14ac:dyDescent="0.25">
      <c r="A97" s="1" t="s">
        <v>90</v>
      </c>
      <c r="B97" s="2" t="s">
        <v>69</v>
      </c>
      <c r="C97" s="2" t="s">
        <v>2</v>
      </c>
      <c r="D97" s="1" t="s">
        <v>3</v>
      </c>
      <c r="E97" s="1" t="s">
        <v>148</v>
      </c>
      <c r="F97" s="1" t="s">
        <v>4</v>
      </c>
      <c r="G97" s="1">
        <v>1789</v>
      </c>
      <c r="H97" s="4">
        <v>2</v>
      </c>
      <c r="I97" s="5" t="s">
        <v>5</v>
      </c>
      <c r="J97" s="1" t="s">
        <v>149</v>
      </c>
      <c r="L97" s="5" t="s">
        <v>187</v>
      </c>
      <c r="M97" s="1">
        <v>-103.75694444444444</v>
      </c>
      <c r="N97" s="1">
        <v>58.146666666666668</v>
      </c>
      <c r="O97" s="1">
        <v>573125</v>
      </c>
      <c r="P97" s="1">
        <v>6445480</v>
      </c>
      <c r="Q97" s="2" t="s">
        <v>118</v>
      </c>
      <c r="R97" s="2" t="s">
        <v>120</v>
      </c>
    </row>
    <row r="98" spans="1:18" hidden="1" x14ac:dyDescent="0.25">
      <c r="A98" s="1" t="s">
        <v>90</v>
      </c>
      <c r="B98" s="2" t="s">
        <v>56</v>
      </c>
      <c r="C98" s="2" t="s">
        <v>55</v>
      </c>
      <c r="D98" s="1" t="s">
        <v>3</v>
      </c>
      <c r="E98" s="1" t="s">
        <v>148</v>
      </c>
      <c r="F98" s="1" t="s">
        <v>8</v>
      </c>
      <c r="G98" s="1">
        <v>2717</v>
      </c>
      <c r="H98" s="4" t="s">
        <v>173</v>
      </c>
      <c r="I98" s="5" t="s">
        <v>47</v>
      </c>
      <c r="J98" s="1" t="s">
        <v>104</v>
      </c>
      <c r="L98" s="5" t="s">
        <v>176</v>
      </c>
      <c r="M98" s="1">
        <v>58.256944444444443</v>
      </c>
      <c r="N98" s="1">
        <v>58.256944444444443</v>
      </c>
      <c r="O98" s="1">
        <v>570290</v>
      </c>
      <c r="P98" s="1">
        <v>6457950</v>
      </c>
      <c r="Q98" s="2" t="s">
        <v>122</v>
      </c>
    </row>
    <row r="99" spans="1:18" hidden="1" x14ac:dyDescent="0.25">
      <c r="A99" s="1" t="s">
        <v>90</v>
      </c>
      <c r="B99" s="2" t="s">
        <v>56</v>
      </c>
      <c r="C99" s="2" t="s">
        <v>55</v>
      </c>
      <c r="D99" s="1" t="s">
        <v>3</v>
      </c>
      <c r="E99" s="1" t="s">
        <v>148</v>
      </c>
      <c r="F99" s="1" t="s">
        <v>12</v>
      </c>
      <c r="G99" s="1">
        <v>1802</v>
      </c>
      <c r="H99" s="4">
        <v>2</v>
      </c>
      <c r="I99" s="5" t="s">
        <v>5</v>
      </c>
      <c r="J99" s="1" t="s">
        <v>104</v>
      </c>
      <c r="L99" s="5" t="s">
        <v>176</v>
      </c>
      <c r="M99" s="1">
        <v>58.256944444444443</v>
      </c>
      <c r="N99" s="1">
        <v>58.256944444444443</v>
      </c>
      <c r="O99" s="1">
        <v>570290</v>
      </c>
      <c r="P99" s="1">
        <v>6457950</v>
      </c>
      <c r="Q99" s="2" t="s">
        <v>122</v>
      </c>
    </row>
    <row r="100" spans="1:18" hidden="1" x14ac:dyDescent="0.25">
      <c r="A100" s="1" t="s">
        <v>90</v>
      </c>
      <c r="B100" s="2" t="s">
        <v>56</v>
      </c>
      <c r="C100" s="2" t="s">
        <v>55</v>
      </c>
      <c r="D100" s="1" t="s">
        <v>3</v>
      </c>
      <c r="E100" s="1" t="s">
        <v>148</v>
      </c>
      <c r="F100" s="1" t="s">
        <v>8</v>
      </c>
      <c r="G100" s="1">
        <v>1857</v>
      </c>
      <c r="H100" s="4" t="s">
        <v>174</v>
      </c>
      <c r="I100" s="5" t="s">
        <v>175</v>
      </c>
      <c r="J100" s="1" t="s">
        <v>104</v>
      </c>
      <c r="L100" s="5" t="s">
        <v>176</v>
      </c>
      <c r="M100" s="1">
        <v>58.256944444444443</v>
      </c>
      <c r="N100" s="1">
        <v>58.256944444444443</v>
      </c>
      <c r="O100" s="1">
        <v>570290</v>
      </c>
      <c r="P100" s="1">
        <v>6457950</v>
      </c>
      <c r="Q100" s="2" t="s">
        <v>122</v>
      </c>
    </row>
    <row r="101" spans="1:18" hidden="1" x14ac:dyDescent="0.25">
      <c r="A101" s="1" t="s">
        <v>90</v>
      </c>
      <c r="B101" s="2" t="s">
        <v>54</v>
      </c>
      <c r="C101" s="2" t="s">
        <v>55</v>
      </c>
      <c r="D101" s="1" t="s">
        <v>3</v>
      </c>
      <c r="E101" s="1" t="s">
        <v>148</v>
      </c>
      <c r="F101" s="1" t="s">
        <v>8</v>
      </c>
      <c r="G101" s="1">
        <v>2706</v>
      </c>
      <c r="H101" s="4">
        <v>5</v>
      </c>
      <c r="I101" s="5" t="s">
        <v>47</v>
      </c>
      <c r="J101" s="1" t="s">
        <v>104</v>
      </c>
      <c r="L101" s="5" t="s">
        <v>176</v>
      </c>
      <c r="M101" s="1">
        <v>58.262500000000003</v>
      </c>
      <c r="N101" s="1">
        <v>58.262500000000003</v>
      </c>
      <c r="O101" s="1">
        <v>570466</v>
      </c>
      <c r="P101" s="1">
        <v>6458556</v>
      </c>
      <c r="Q101" s="2" t="s">
        <v>122</v>
      </c>
      <c r="R101" s="2" t="s">
        <v>129</v>
      </c>
    </row>
    <row r="102" spans="1:18" hidden="1" x14ac:dyDescent="0.25">
      <c r="A102" s="1" t="s">
        <v>90</v>
      </c>
      <c r="B102" s="2" t="s">
        <v>54</v>
      </c>
      <c r="C102" s="2" t="s">
        <v>55</v>
      </c>
      <c r="D102" s="1" t="s">
        <v>3</v>
      </c>
      <c r="E102" s="1" t="s">
        <v>148</v>
      </c>
      <c r="F102" s="1" t="s">
        <v>12</v>
      </c>
      <c r="G102" s="1">
        <v>1804</v>
      </c>
      <c r="H102" s="4">
        <v>8</v>
      </c>
      <c r="I102" s="5" t="s">
        <v>5</v>
      </c>
      <c r="J102" s="1" t="s">
        <v>104</v>
      </c>
      <c r="L102" s="5" t="s">
        <v>176</v>
      </c>
      <c r="M102" s="1">
        <v>58.262500000000003</v>
      </c>
      <c r="N102" s="1">
        <v>58.262500000000003</v>
      </c>
      <c r="O102" s="1">
        <v>570466</v>
      </c>
      <c r="P102" s="1">
        <v>6458556</v>
      </c>
      <c r="Q102" s="2" t="s">
        <v>122</v>
      </c>
      <c r="R102" s="2" t="s">
        <v>129</v>
      </c>
    </row>
    <row r="103" spans="1:18" hidden="1" x14ac:dyDescent="0.25">
      <c r="A103" s="1" t="s">
        <v>90</v>
      </c>
      <c r="B103" s="2" t="s">
        <v>53</v>
      </c>
      <c r="C103" s="2" t="s">
        <v>28</v>
      </c>
      <c r="D103" s="1" t="s">
        <v>3</v>
      </c>
      <c r="E103" s="1" t="s">
        <v>148</v>
      </c>
      <c r="F103" s="1" t="s">
        <v>12</v>
      </c>
      <c r="G103" s="1">
        <v>1810</v>
      </c>
      <c r="H103" s="4">
        <v>3</v>
      </c>
      <c r="I103" s="5" t="s">
        <v>47</v>
      </c>
      <c r="J103" s="1" t="s">
        <v>104</v>
      </c>
      <c r="L103" s="5" t="s">
        <v>107</v>
      </c>
      <c r="M103" s="1">
        <v>58.271666666666668</v>
      </c>
      <c r="N103" s="1">
        <v>58.271666666666668</v>
      </c>
      <c r="O103" s="1">
        <v>569498</v>
      </c>
      <c r="P103" s="1">
        <v>6459575</v>
      </c>
      <c r="Q103" s="2" t="s">
        <v>122</v>
      </c>
      <c r="R103" s="2" t="s">
        <v>127</v>
      </c>
    </row>
    <row r="104" spans="1:18" hidden="1" x14ac:dyDescent="0.25">
      <c r="A104" s="1" t="s">
        <v>90</v>
      </c>
      <c r="B104" s="2" t="s">
        <v>53</v>
      </c>
      <c r="C104" s="2" t="s">
        <v>28</v>
      </c>
      <c r="D104" s="1" t="s">
        <v>3</v>
      </c>
      <c r="E104" s="1" t="s">
        <v>148</v>
      </c>
      <c r="F104" s="1" t="s">
        <v>8</v>
      </c>
      <c r="G104" s="1">
        <v>1736</v>
      </c>
      <c r="H104" s="4" t="s">
        <v>169</v>
      </c>
      <c r="I104" s="5" t="s">
        <v>170</v>
      </c>
      <c r="J104" s="1" t="s">
        <v>104</v>
      </c>
      <c r="L104" s="5" t="s">
        <v>107</v>
      </c>
      <c r="M104" s="1">
        <v>58.271666666666668</v>
      </c>
      <c r="N104" s="1">
        <v>58.271666666666668</v>
      </c>
      <c r="O104" s="1">
        <v>569498</v>
      </c>
      <c r="P104" s="1">
        <v>6459575</v>
      </c>
      <c r="Q104" s="2" t="s">
        <v>122</v>
      </c>
      <c r="R104" s="2" t="s">
        <v>127</v>
      </c>
    </row>
    <row r="105" spans="1:18" hidden="1" x14ac:dyDescent="0.25">
      <c r="A105" s="1" t="s">
        <v>90</v>
      </c>
      <c r="B105" s="2" t="s">
        <v>53</v>
      </c>
      <c r="C105" s="2" t="s">
        <v>28</v>
      </c>
      <c r="D105" s="1" t="s">
        <v>3</v>
      </c>
      <c r="E105" s="1" t="s">
        <v>148</v>
      </c>
      <c r="F105" s="1" t="s">
        <v>8</v>
      </c>
      <c r="G105" s="1">
        <v>1773</v>
      </c>
      <c r="H105" s="4" t="s">
        <v>171</v>
      </c>
      <c r="I105" s="5" t="s">
        <v>170</v>
      </c>
      <c r="J105" s="1" t="s">
        <v>104</v>
      </c>
      <c r="L105" s="5" t="s">
        <v>107</v>
      </c>
      <c r="M105" s="1">
        <v>58.271666666666668</v>
      </c>
      <c r="N105" s="1">
        <v>58.271666666666668</v>
      </c>
      <c r="O105" s="1">
        <v>569498</v>
      </c>
      <c r="P105" s="1">
        <v>6459575</v>
      </c>
      <c r="Q105" s="2" t="s">
        <v>122</v>
      </c>
      <c r="R105" s="2" t="s">
        <v>127</v>
      </c>
    </row>
    <row r="106" spans="1:18" hidden="1" x14ac:dyDescent="0.25">
      <c r="A106" s="1" t="s">
        <v>90</v>
      </c>
      <c r="B106" s="2" t="s">
        <v>65</v>
      </c>
      <c r="C106" s="2" t="s">
        <v>28</v>
      </c>
      <c r="D106" s="1" t="s">
        <v>3</v>
      </c>
      <c r="E106" s="1" t="s">
        <v>148</v>
      </c>
      <c r="F106" s="1" t="s">
        <v>12</v>
      </c>
      <c r="G106" s="1">
        <v>1764</v>
      </c>
      <c r="H106" s="4">
        <v>2</v>
      </c>
      <c r="I106" s="5" t="s">
        <v>5</v>
      </c>
      <c r="J106" s="1" t="s">
        <v>104</v>
      </c>
      <c r="L106" s="5" t="s">
        <v>109</v>
      </c>
      <c r="M106" s="1" t="s">
        <v>278</v>
      </c>
      <c r="N106" s="1" t="s">
        <v>278</v>
      </c>
      <c r="O106" s="1">
        <v>561730</v>
      </c>
      <c r="P106" s="1">
        <v>6454563</v>
      </c>
      <c r="Q106" s="2" t="s">
        <v>122</v>
      </c>
      <c r="R106" s="2" t="s">
        <v>127</v>
      </c>
    </row>
    <row r="107" spans="1:18" hidden="1" x14ac:dyDescent="0.25">
      <c r="A107" s="1" t="s">
        <v>90</v>
      </c>
      <c r="B107" s="2" t="s">
        <v>65</v>
      </c>
      <c r="C107" s="2" t="s">
        <v>28</v>
      </c>
      <c r="D107" s="1" t="s">
        <v>3</v>
      </c>
      <c r="E107" s="1" t="s">
        <v>148</v>
      </c>
      <c r="F107" s="1" t="s">
        <v>12</v>
      </c>
      <c r="G107" s="1">
        <v>1776</v>
      </c>
      <c r="H107" s="4">
        <v>3</v>
      </c>
      <c r="I107" s="5" t="s">
        <v>5</v>
      </c>
      <c r="J107" s="1" t="s">
        <v>104</v>
      </c>
      <c r="L107" s="5" t="s">
        <v>109</v>
      </c>
      <c r="M107" s="1" t="s">
        <v>278</v>
      </c>
      <c r="N107" s="1" t="s">
        <v>278</v>
      </c>
      <c r="Q107" s="2" t="s">
        <v>122</v>
      </c>
      <c r="R107" s="2" t="s">
        <v>127</v>
      </c>
    </row>
    <row r="108" spans="1:18" hidden="1" x14ac:dyDescent="0.25">
      <c r="A108" s="1" t="s">
        <v>90</v>
      </c>
      <c r="B108" s="2" t="s">
        <v>65</v>
      </c>
      <c r="C108" s="2" t="s">
        <v>28</v>
      </c>
      <c r="D108" s="1" t="s">
        <v>3</v>
      </c>
      <c r="E108" s="1" t="s">
        <v>148</v>
      </c>
      <c r="F108" s="1" t="s">
        <v>8</v>
      </c>
      <c r="G108" s="1">
        <v>1803</v>
      </c>
      <c r="H108" s="4">
        <v>3</v>
      </c>
      <c r="I108" s="5" t="s">
        <v>128</v>
      </c>
      <c r="J108" s="1" t="s">
        <v>104</v>
      </c>
      <c r="L108" s="5" t="s">
        <v>109</v>
      </c>
      <c r="M108" s="1" t="s">
        <v>278</v>
      </c>
      <c r="N108" s="1" t="s">
        <v>278</v>
      </c>
      <c r="Q108" s="2" t="s">
        <v>122</v>
      </c>
      <c r="R108" s="2" t="s">
        <v>127</v>
      </c>
    </row>
    <row r="109" spans="1:18" hidden="1" x14ac:dyDescent="0.25">
      <c r="A109" s="1" t="s">
        <v>48</v>
      </c>
      <c r="B109" s="2" t="s">
        <v>37</v>
      </c>
      <c r="C109" s="2" t="s">
        <v>38</v>
      </c>
      <c r="D109" s="1" t="s">
        <v>3</v>
      </c>
      <c r="E109" s="1" t="s">
        <v>148</v>
      </c>
      <c r="F109" s="1" t="s">
        <v>8</v>
      </c>
      <c r="G109" s="1">
        <v>1818</v>
      </c>
      <c r="H109" s="4">
        <v>1</v>
      </c>
      <c r="I109" s="5" t="s">
        <v>47</v>
      </c>
      <c r="J109" s="1" t="s">
        <v>104</v>
      </c>
      <c r="K109" s="1" t="s">
        <v>210</v>
      </c>
      <c r="L109" s="5" t="s">
        <v>115</v>
      </c>
      <c r="M109" s="1">
        <v>-105.30722222222222</v>
      </c>
      <c r="N109" s="1">
        <v>57.508333333333333</v>
      </c>
      <c r="O109" s="1">
        <v>481567</v>
      </c>
      <c r="P109" s="1">
        <v>6374041</v>
      </c>
      <c r="Q109" s="2" t="s">
        <v>124</v>
      </c>
    </row>
    <row r="110" spans="1:18" hidden="1" x14ac:dyDescent="0.25">
      <c r="A110" s="1" t="s">
        <v>48</v>
      </c>
      <c r="B110" s="2" t="s">
        <v>37</v>
      </c>
      <c r="C110" s="2" t="s">
        <v>38</v>
      </c>
      <c r="D110" s="1" t="s">
        <v>3</v>
      </c>
      <c r="E110" s="1" t="s">
        <v>148</v>
      </c>
      <c r="F110" s="1" t="s">
        <v>12</v>
      </c>
      <c r="G110" s="1">
        <v>1783</v>
      </c>
      <c r="H110" s="4" t="s">
        <v>171</v>
      </c>
      <c r="I110" s="5" t="s">
        <v>5</v>
      </c>
      <c r="J110" s="1" t="s">
        <v>104</v>
      </c>
      <c r="K110" s="1" t="s">
        <v>210</v>
      </c>
      <c r="L110" s="5" t="s">
        <v>115</v>
      </c>
      <c r="M110" s="1">
        <v>-105.30722222222222</v>
      </c>
      <c r="N110" s="1">
        <v>57.508333333333333</v>
      </c>
      <c r="O110" s="1">
        <v>481567</v>
      </c>
      <c r="P110" s="1">
        <v>6374041</v>
      </c>
      <c r="Q110" s="2" t="s">
        <v>124</v>
      </c>
    </row>
    <row r="111" spans="1:18" hidden="1" x14ac:dyDescent="0.25">
      <c r="A111" s="1" t="s">
        <v>48</v>
      </c>
      <c r="B111" s="2" t="s">
        <v>37</v>
      </c>
      <c r="C111" s="2" t="s">
        <v>38</v>
      </c>
      <c r="D111" s="1" t="s">
        <v>3</v>
      </c>
      <c r="E111" s="1" t="s">
        <v>148</v>
      </c>
      <c r="F111" s="1" t="s">
        <v>12</v>
      </c>
      <c r="G111" s="1">
        <v>1797</v>
      </c>
      <c r="H111" s="4">
        <v>1</v>
      </c>
      <c r="I111" s="5" t="s">
        <v>5</v>
      </c>
      <c r="J111" s="1" t="s">
        <v>104</v>
      </c>
      <c r="K111" s="1" t="s">
        <v>210</v>
      </c>
      <c r="L111" s="5" t="s">
        <v>115</v>
      </c>
      <c r="M111" s="1">
        <v>-105.30722222222222</v>
      </c>
      <c r="N111" s="1">
        <v>57.508333333333333</v>
      </c>
      <c r="O111" s="1">
        <v>481567</v>
      </c>
      <c r="P111" s="1">
        <v>6374041</v>
      </c>
      <c r="Q111" s="2" t="s">
        <v>124</v>
      </c>
    </row>
    <row r="112" spans="1:18" hidden="1" x14ac:dyDescent="0.25">
      <c r="A112" s="1" t="s">
        <v>48</v>
      </c>
      <c r="B112" s="2" t="s">
        <v>37</v>
      </c>
      <c r="C112" s="2" t="s">
        <v>38</v>
      </c>
      <c r="D112" s="1" t="s">
        <v>3</v>
      </c>
      <c r="E112" s="1" t="s">
        <v>148</v>
      </c>
      <c r="F112" s="1" t="s">
        <v>12</v>
      </c>
      <c r="G112" s="1">
        <v>1810</v>
      </c>
      <c r="H112" s="4">
        <v>1</v>
      </c>
      <c r="I112" s="5" t="s">
        <v>5</v>
      </c>
      <c r="J112" s="1" t="s">
        <v>104</v>
      </c>
      <c r="K112" s="1" t="s">
        <v>211</v>
      </c>
      <c r="L112" s="5" t="s">
        <v>115</v>
      </c>
      <c r="M112" s="1">
        <v>-105.30722222222222</v>
      </c>
      <c r="N112" s="1">
        <v>57.508333333333333</v>
      </c>
      <c r="O112" s="1">
        <v>481567</v>
      </c>
      <c r="P112" s="1">
        <v>6374041</v>
      </c>
      <c r="Q112" s="2" t="s">
        <v>124</v>
      </c>
    </row>
    <row r="113" spans="1:18" hidden="1" x14ac:dyDescent="0.25">
      <c r="A113" s="1" t="s">
        <v>48</v>
      </c>
      <c r="B113" s="2" t="s">
        <v>39</v>
      </c>
      <c r="C113" s="2" t="s">
        <v>40</v>
      </c>
      <c r="D113" s="1" t="s">
        <v>3</v>
      </c>
      <c r="E113" s="1" t="s">
        <v>148</v>
      </c>
      <c r="F113" s="1" t="s">
        <v>12</v>
      </c>
      <c r="G113" s="1">
        <v>1800</v>
      </c>
      <c r="H113" s="4">
        <v>2</v>
      </c>
      <c r="I113" s="5" t="s">
        <v>5</v>
      </c>
      <c r="J113" s="1" t="s">
        <v>104</v>
      </c>
      <c r="K113" s="1" t="s">
        <v>212</v>
      </c>
      <c r="L113" s="5" t="s">
        <v>115</v>
      </c>
      <c r="M113" s="1">
        <v>-105.46944444444445</v>
      </c>
      <c r="N113" s="1">
        <v>57.480277777777779</v>
      </c>
      <c r="O113" s="1">
        <v>471825</v>
      </c>
      <c r="P113" s="1">
        <v>6370970</v>
      </c>
      <c r="Q113" s="2" t="s">
        <v>124</v>
      </c>
    </row>
    <row r="114" spans="1:18" hidden="1" x14ac:dyDescent="0.25">
      <c r="A114" s="1" t="s">
        <v>48</v>
      </c>
      <c r="B114" s="2" t="s">
        <v>39</v>
      </c>
      <c r="C114" s="2" t="s">
        <v>40</v>
      </c>
      <c r="D114" s="1" t="s">
        <v>3</v>
      </c>
      <c r="E114" s="1" t="s">
        <v>148</v>
      </c>
      <c r="F114" s="1" t="s">
        <v>12</v>
      </c>
      <c r="G114" s="1">
        <v>1806</v>
      </c>
      <c r="H114" s="4">
        <v>2</v>
      </c>
      <c r="I114" s="5" t="s">
        <v>5</v>
      </c>
      <c r="J114" s="1" t="s">
        <v>104</v>
      </c>
      <c r="K114" s="1" t="s">
        <v>213</v>
      </c>
      <c r="L114" s="5" t="s">
        <v>115</v>
      </c>
      <c r="M114" s="1">
        <v>-105.46944444444445</v>
      </c>
      <c r="N114" s="1">
        <v>57.480277777777779</v>
      </c>
      <c r="O114" s="1">
        <v>471825</v>
      </c>
      <c r="P114" s="1">
        <v>6370970</v>
      </c>
      <c r="Q114" s="2" t="s">
        <v>124</v>
      </c>
    </row>
    <row r="115" spans="1:18" hidden="1" x14ac:dyDescent="0.25">
      <c r="A115" s="1" t="s">
        <v>48</v>
      </c>
      <c r="B115" s="2" t="s">
        <v>39</v>
      </c>
      <c r="C115" s="2" t="s">
        <v>40</v>
      </c>
      <c r="D115" s="1" t="s">
        <v>3</v>
      </c>
      <c r="E115" s="1" t="s">
        <v>148</v>
      </c>
      <c r="F115" s="1" t="s">
        <v>12</v>
      </c>
      <c r="G115" s="1">
        <v>1807</v>
      </c>
      <c r="H115" s="4">
        <v>2</v>
      </c>
      <c r="I115" s="5" t="s">
        <v>5</v>
      </c>
      <c r="J115" s="1" t="s">
        <v>104</v>
      </c>
      <c r="K115" s="1" t="s">
        <v>214</v>
      </c>
      <c r="L115" s="5" t="s">
        <v>115</v>
      </c>
      <c r="M115" s="1">
        <v>-105.46944444444445</v>
      </c>
      <c r="N115" s="1">
        <v>57.480277777777779</v>
      </c>
      <c r="O115" s="1">
        <v>471825</v>
      </c>
      <c r="P115" s="1">
        <v>6370970</v>
      </c>
      <c r="Q115" s="2" t="s">
        <v>124</v>
      </c>
    </row>
    <row r="116" spans="1:18" hidden="1" x14ac:dyDescent="0.25">
      <c r="A116" s="1" t="s">
        <v>48</v>
      </c>
      <c r="B116" s="2" t="s">
        <v>37</v>
      </c>
      <c r="C116" s="2" t="s">
        <v>146</v>
      </c>
      <c r="D116" s="1" t="s">
        <v>3</v>
      </c>
      <c r="E116" s="1" t="s">
        <v>148</v>
      </c>
      <c r="F116" s="1" t="s">
        <v>8</v>
      </c>
      <c r="G116" s="1">
        <v>1824.3</v>
      </c>
      <c r="H116" s="4">
        <v>3.3</v>
      </c>
      <c r="I116" s="5" t="s">
        <v>162</v>
      </c>
      <c r="J116" s="1" t="s">
        <v>104</v>
      </c>
      <c r="K116" s="1" t="s">
        <v>209</v>
      </c>
      <c r="L116" s="5" t="s">
        <v>115</v>
      </c>
      <c r="M116" s="1">
        <v>57.508333333333333</v>
      </c>
      <c r="N116" s="1">
        <v>57.508333333333333</v>
      </c>
      <c r="O116" s="1">
        <v>481567</v>
      </c>
      <c r="P116" s="1">
        <v>6374041</v>
      </c>
      <c r="Q116" s="2" t="s">
        <v>124</v>
      </c>
    </row>
    <row r="117" spans="1:18" hidden="1" x14ac:dyDescent="0.25">
      <c r="A117" s="1" t="s">
        <v>48</v>
      </c>
      <c r="B117" s="2" t="s">
        <v>37</v>
      </c>
      <c r="C117" s="2" t="s">
        <v>146</v>
      </c>
      <c r="D117" s="1" t="s">
        <v>3</v>
      </c>
      <c r="E117" s="1" t="s">
        <v>148</v>
      </c>
      <c r="F117" s="1" t="s">
        <v>8</v>
      </c>
      <c r="G117" s="1">
        <v>1086</v>
      </c>
      <c r="H117" s="4" t="s">
        <v>15</v>
      </c>
      <c r="I117" s="5" t="s">
        <v>189</v>
      </c>
      <c r="J117" s="1" t="s">
        <v>104</v>
      </c>
      <c r="K117" s="1" t="s">
        <v>209</v>
      </c>
      <c r="L117" s="5" t="s">
        <v>115</v>
      </c>
      <c r="M117" s="1">
        <v>57.508333333333333</v>
      </c>
      <c r="N117" s="1">
        <v>57.508333333333333</v>
      </c>
      <c r="O117" s="1">
        <v>481567</v>
      </c>
      <c r="P117" s="1">
        <v>6374041</v>
      </c>
      <c r="Q117" s="2" t="s">
        <v>124</v>
      </c>
    </row>
    <row r="118" spans="1:18" hidden="1" x14ac:dyDescent="0.25">
      <c r="A118" s="1" t="s">
        <v>48</v>
      </c>
      <c r="B118" s="2" t="s">
        <v>34</v>
      </c>
      <c r="C118" s="2" t="s">
        <v>35</v>
      </c>
      <c r="D118" s="1" t="s">
        <v>3</v>
      </c>
      <c r="E118" s="1" t="s">
        <v>148</v>
      </c>
      <c r="F118" s="1" t="s">
        <v>8</v>
      </c>
      <c r="G118" s="1">
        <v>1818</v>
      </c>
      <c r="H118" s="4">
        <v>1</v>
      </c>
      <c r="I118" s="5" t="s">
        <v>47</v>
      </c>
      <c r="J118" s="1" t="s">
        <v>104</v>
      </c>
      <c r="K118" s="1" t="s">
        <v>196</v>
      </c>
      <c r="L118" s="5" t="s">
        <v>112</v>
      </c>
      <c r="M118" s="1">
        <v>-104.85833333333333</v>
      </c>
      <c r="N118" s="1">
        <v>57.854444444444447</v>
      </c>
      <c r="O118" s="1">
        <v>508376</v>
      </c>
      <c r="P118" s="1">
        <v>6412529</v>
      </c>
      <c r="Q118" s="2" t="s">
        <v>124</v>
      </c>
      <c r="R118" s="2" t="s">
        <v>126</v>
      </c>
    </row>
    <row r="119" spans="1:18" hidden="1" x14ac:dyDescent="0.25">
      <c r="A119" s="1" t="s">
        <v>48</v>
      </c>
      <c r="B119" s="2" t="s">
        <v>34</v>
      </c>
      <c r="C119" s="2" t="s">
        <v>35</v>
      </c>
      <c r="D119" s="1" t="s">
        <v>3</v>
      </c>
      <c r="E119" s="1" t="s">
        <v>148</v>
      </c>
      <c r="F119" s="1" t="s">
        <v>12</v>
      </c>
      <c r="G119" s="1">
        <v>1801</v>
      </c>
      <c r="H119" s="4">
        <v>1</v>
      </c>
      <c r="I119" s="5" t="s">
        <v>5</v>
      </c>
      <c r="J119" s="1" t="s">
        <v>104</v>
      </c>
      <c r="K119" s="1" t="s">
        <v>195</v>
      </c>
      <c r="L119" s="5" t="s">
        <v>112</v>
      </c>
      <c r="M119" s="1">
        <v>-104.85833333333333</v>
      </c>
      <c r="N119" s="1">
        <v>57.854444444444447</v>
      </c>
      <c r="O119" s="1">
        <v>508376</v>
      </c>
      <c r="P119" s="1">
        <v>6412529</v>
      </c>
      <c r="Q119" s="2" t="s">
        <v>124</v>
      </c>
      <c r="R119" s="2" t="s">
        <v>126</v>
      </c>
    </row>
    <row r="120" spans="1:18" hidden="1" x14ac:dyDescent="0.25">
      <c r="A120" s="1" t="s">
        <v>48</v>
      </c>
      <c r="B120" s="2" t="s">
        <v>36</v>
      </c>
      <c r="C120" s="2" t="s">
        <v>28</v>
      </c>
      <c r="D120" s="1" t="s">
        <v>3</v>
      </c>
      <c r="E120" s="1" t="s">
        <v>148</v>
      </c>
      <c r="F120" s="1" t="s">
        <v>8</v>
      </c>
      <c r="G120" s="1">
        <v>1811</v>
      </c>
      <c r="H120" s="4">
        <v>1</v>
      </c>
      <c r="I120" s="5" t="s">
        <v>47</v>
      </c>
      <c r="J120" s="1" t="s">
        <v>104</v>
      </c>
      <c r="K120" s="1" t="s">
        <v>197</v>
      </c>
      <c r="L120" s="5" t="s">
        <v>112</v>
      </c>
      <c r="M120" s="1">
        <v>57.841388888888893</v>
      </c>
      <c r="N120" s="1">
        <v>57.841388888888893</v>
      </c>
      <c r="O120" s="1">
        <v>505873</v>
      </c>
      <c r="P120" s="1">
        <v>6411077</v>
      </c>
      <c r="Q120" s="2" t="s">
        <v>124</v>
      </c>
    </row>
    <row r="121" spans="1:18" hidden="1" x14ac:dyDescent="0.25">
      <c r="A121" s="1" t="s">
        <v>48</v>
      </c>
      <c r="B121" s="2" t="s">
        <v>36</v>
      </c>
      <c r="C121" s="2" t="s">
        <v>28</v>
      </c>
      <c r="D121" s="1" t="s">
        <v>3</v>
      </c>
      <c r="E121" s="1" t="s">
        <v>148</v>
      </c>
      <c r="F121" s="1" t="s">
        <v>12</v>
      </c>
      <c r="G121" s="1">
        <v>1805</v>
      </c>
      <c r="H121" s="4">
        <v>5</v>
      </c>
      <c r="I121" s="5" t="s">
        <v>5</v>
      </c>
      <c r="J121" s="1" t="s">
        <v>104</v>
      </c>
      <c r="K121" s="1" t="s">
        <v>198</v>
      </c>
      <c r="L121" s="5" t="s">
        <v>112</v>
      </c>
      <c r="M121" s="1">
        <v>57.841388888888893</v>
      </c>
      <c r="N121" s="1">
        <v>57.841388888888893</v>
      </c>
      <c r="O121" s="1">
        <v>505873</v>
      </c>
      <c r="P121" s="1">
        <v>6411077</v>
      </c>
      <c r="Q121" s="2" t="s">
        <v>124</v>
      </c>
    </row>
    <row r="122" spans="1:18" hidden="1" x14ac:dyDescent="0.25">
      <c r="C122" s="2" t="s">
        <v>185</v>
      </c>
      <c r="D122" s="1" t="s">
        <v>3</v>
      </c>
      <c r="E122" s="1" t="s">
        <v>148</v>
      </c>
      <c r="F122" s="1" t="s">
        <v>8</v>
      </c>
      <c r="G122" s="1">
        <v>1816</v>
      </c>
      <c r="H122" s="4" t="s">
        <v>169</v>
      </c>
      <c r="M122" s="1" t="s">
        <v>278</v>
      </c>
      <c r="N122" s="1" t="s">
        <v>278</v>
      </c>
      <c r="Q122" s="2" t="s">
        <v>277</v>
      </c>
    </row>
    <row r="123" spans="1:18" hidden="1" x14ac:dyDescent="0.25">
      <c r="M123" s="1">
        <v>-106.16833333333334</v>
      </c>
      <c r="Q123" s="5"/>
      <c r="R123" s="1"/>
    </row>
    <row r="124" spans="1:18" hidden="1" x14ac:dyDescent="0.25">
      <c r="M124" s="1">
        <v>-103.52805555555555</v>
      </c>
      <c r="Q124" s="5"/>
      <c r="R124" s="1"/>
    </row>
    <row r="125" spans="1:18" hidden="1" x14ac:dyDescent="0.25">
      <c r="M125" s="1">
        <v>-103.80222222222221</v>
      </c>
      <c r="Q125" s="5"/>
      <c r="R125" s="1"/>
    </row>
    <row r="126" spans="1:18" hidden="1" x14ac:dyDescent="0.25">
      <c r="M126" s="1">
        <v>-103.79888888888888</v>
      </c>
      <c r="Q126" s="5"/>
      <c r="R126" s="1"/>
    </row>
    <row r="127" spans="1:18" hidden="1" x14ac:dyDescent="0.25">
      <c r="M127" s="1" t="s">
        <v>278</v>
      </c>
      <c r="Q127" s="5"/>
      <c r="R127" s="1"/>
    </row>
    <row r="128" spans="1:18" hidden="1" x14ac:dyDescent="0.25">
      <c r="M128" s="1">
        <v>-103.52805555555555</v>
      </c>
      <c r="Q128" s="5"/>
      <c r="R128" s="1"/>
    </row>
    <row r="129" spans="13:18" hidden="1" x14ac:dyDescent="0.25">
      <c r="M129" s="1">
        <v>-103.52805555555555</v>
      </c>
      <c r="Q129" s="5"/>
      <c r="R129" s="1"/>
    </row>
    <row r="130" spans="13:18" hidden="1" x14ac:dyDescent="0.25">
      <c r="M130" s="1">
        <v>-103.80222222222221</v>
      </c>
      <c r="Q130" s="5"/>
      <c r="R130" s="1"/>
    </row>
    <row r="131" spans="13:18" hidden="1" x14ac:dyDescent="0.25">
      <c r="M131" s="1">
        <v>-103.79888888888888</v>
      </c>
      <c r="Q131" s="5"/>
      <c r="R131" s="1"/>
    </row>
    <row r="132" spans="13:18" hidden="1" x14ac:dyDescent="0.25">
      <c r="M132" s="1">
        <v>-103.80222222222221</v>
      </c>
      <c r="Q132" s="5"/>
      <c r="R132" s="1"/>
    </row>
    <row r="133" spans="13:18" hidden="1" x14ac:dyDescent="0.25">
      <c r="M133" s="1" t="s">
        <v>278</v>
      </c>
      <c r="Q133" s="5"/>
      <c r="R133" s="1"/>
    </row>
    <row r="134" spans="13:18" hidden="1" x14ac:dyDescent="0.25">
      <c r="M134" s="1" t="s">
        <v>278</v>
      </c>
      <c r="Q134" s="5"/>
      <c r="R134" s="1"/>
    </row>
    <row r="135" spans="13:18" hidden="1" x14ac:dyDescent="0.25">
      <c r="M135" s="1" t="s">
        <v>278</v>
      </c>
      <c r="Q135" s="5"/>
      <c r="R135" s="1"/>
    </row>
    <row r="136" spans="13:18" hidden="1" x14ac:dyDescent="0.25">
      <c r="M136" s="1" t="s">
        <v>278</v>
      </c>
      <c r="Q136" s="5"/>
      <c r="R136" s="1"/>
    </row>
    <row r="137" spans="13:18" hidden="1" x14ac:dyDescent="0.25">
      <c r="M137" s="1" t="s">
        <v>278</v>
      </c>
      <c r="Q137" s="5"/>
      <c r="R137" s="1"/>
    </row>
  </sheetData>
  <sortState xmlns:xlrd2="http://schemas.microsoft.com/office/spreadsheetml/2017/richdata2" ref="A3:P96">
    <sortCondition ref="B3:B96"/>
  </sortState>
  <phoneticPr fontId="1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C5076-3A32-4480-82F0-269B28E9964A}">
  <dimension ref="A1:V124"/>
  <sheetViews>
    <sheetView zoomScale="130" zoomScaleNormal="130" workbookViewId="0">
      <pane ySplit="1" topLeftCell="A52" activePane="bottomLeft" state="frozen"/>
      <selection pane="bottomLeft" activeCell="A63" sqref="A63:XFD66"/>
    </sheetView>
  </sheetViews>
  <sheetFormatPr defaultColWidth="8.85546875" defaultRowHeight="15" x14ac:dyDescent="0.25"/>
  <cols>
    <col min="1" max="1" width="11.5703125" style="1" bestFit="1" customWidth="1"/>
    <col min="2" max="2" width="13.5703125" style="2" bestFit="1" customWidth="1"/>
    <col min="3" max="3" width="34.5703125" style="2" customWidth="1"/>
    <col min="4" max="4" width="13.5703125" style="1" bestFit="1" customWidth="1"/>
    <col min="5" max="5" width="15.85546875" style="1" bestFit="1" customWidth="1"/>
    <col min="6" max="6" width="13.5703125" style="1" bestFit="1" customWidth="1"/>
    <col min="7" max="7" width="13.5703125" style="1" customWidth="1"/>
    <col min="8" max="8" width="12.28515625" style="1" bestFit="1" customWidth="1"/>
    <col min="9" max="9" width="23.42578125" style="4" bestFit="1" customWidth="1"/>
    <col min="10" max="10" width="40.5703125" style="5" bestFit="1" customWidth="1"/>
    <col min="11" max="11" width="17.7109375" style="1" bestFit="1" customWidth="1"/>
    <col min="12" max="12" width="38.42578125" style="1" bestFit="1" customWidth="1"/>
    <col min="13" max="13" width="54.42578125" style="5" bestFit="1" customWidth="1"/>
    <col min="14" max="14" width="14.85546875" style="1" bestFit="1" customWidth="1"/>
    <col min="15" max="17" width="14.85546875" style="1" customWidth="1"/>
    <col min="18" max="18" width="28.85546875" style="2" bestFit="1" customWidth="1"/>
    <col min="19" max="19" width="25.28515625" style="2" bestFit="1" customWidth="1"/>
    <col min="20" max="20" width="12.42578125" style="1" bestFit="1" customWidth="1"/>
    <col min="21" max="21" width="9.42578125" style="18" bestFit="1" customWidth="1"/>
    <col min="22" max="22" width="11" style="1" bestFit="1" customWidth="1"/>
    <col min="23" max="16384" width="8.85546875" style="1"/>
  </cols>
  <sheetData>
    <row r="1" spans="1:22" ht="30" x14ac:dyDescent="0.25">
      <c r="A1" s="9" t="s">
        <v>151</v>
      </c>
      <c r="B1" s="9" t="s">
        <v>0</v>
      </c>
      <c r="C1" s="9" t="s">
        <v>92</v>
      </c>
      <c r="D1" s="9" t="s">
        <v>93</v>
      </c>
      <c r="E1" s="9" t="s">
        <v>147</v>
      </c>
      <c r="F1" s="9" t="s">
        <v>94</v>
      </c>
      <c r="G1" s="9" t="s">
        <v>300</v>
      </c>
      <c r="H1" s="9" t="s">
        <v>95</v>
      </c>
      <c r="I1" s="14" t="s">
        <v>96</v>
      </c>
      <c r="J1" s="9" t="s">
        <v>91</v>
      </c>
      <c r="K1" s="9" t="s">
        <v>150</v>
      </c>
      <c r="L1" s="9" t="s">
        <v>168</v>
      </c>
      <c r="M1" s="9" t="s">
        <v>152</v>
      </c>
      <c r="N1" s="9" t="s">
        <v>153</v>
      </c>
      <c r="O1" s="9" t="s">
        <v>279</v>
      </c>
      <c r="P1" s="9" t="s">
        <v>154</v>
      </c>
      <c r="Q1" s="9" t="s">
        <v>155</v>
      </c>
      <c r="R1" s="15" t="s">
        <v>275</v>
      </c>
      <c r="S1" s="15" t="s">
        <v>276</v>
      </c>
    </row>
    <row r="2" spans="1:22" x14ac:dyDescent="0.25">
      <c r="A2" s="1" t="s">
        <v>90</v>
      </c>
      <c r="B2" s="2">
        <v>230</v>
      </c>
      <c r="C2" s="2" t="s">
        <v>28</v>
      </c>
      <c r="D2" s="1" t="s">
        <v>3</v>
      </c>
      <c r="E2" s="1" t="s">
        <v>148</v>
      </c>
      <c r="F2" s="1" t="s">
        <v>8</v>
      </c>
      <c r="G2" s="1" t="str">
        <f>IF(Tabela135[[#This Row],[Mineral]]=$U$4,$V$4,IF(Tabela135[[#This Row],[Mineral]]=$U$5,$V$5,IF(Tabela135[[#This Row],[Mineral]]=$U$6,$V$6,IF(Tabela135[[#This Row],[Mineral]]=$U$7,$V$7,$V$8))))</f>
        <v>Zrn</v>
      </c>
      <c r="H2" s="1">
        <v>1923</v>
      </c>
      <c r="I2" s="10" t="s">
        <v>178</v>
      </c>
      <c r="J2" s="5" t="s">
        <v>162</v>
      </c>
      <c r="K2" s="1" t="s">
        <v>104</v>
      </c>
      <c r="M2" s="5" t="s">
        <v>105</v>
      </c>
      <c r="N2" s="1">
        <v>58.30361111111111</v>
      </c>
      <c r="O2" s="1">
        <v>58.30361111111111</v>
      </c>
      <c r="P2" s="1">
        <v>560734</v>
      </c>
      <c r="Q2" s="1">
        <v>6462976</v>
      </c>
      <c r="R2" s="2" t="s">
        <v>122</v>
      </c>
    </row>
    <row r="3" spans="1:22" x14ac:dyDescent="0.25">
      <c r="A3" s="1" t="s">
        <v>90</v>
      </c>
      <c r="B3" s="2">
        <v>230</v>
      </c>
      <c r="C3" s="2" t="s">
        <v>28</v>
      </c>
      <c r="D3" s="1" t="s">
        <v>3</v>
      </c>
      <c r="E3" s="1" t="s">
        <v>148</v>
      </c>
      <c r="F3" s="1" t="s">
        <v>8</v>
      </c>
      <c r="G3" s="1" t="str">
        <f>IF(Tabela135[[#This Row],[Mineral]]=$U$4,$V$4,IF(Tabela135[[#This Row],[Mineral]]=$U$5,$V$5,IF(Tabela135[[#This Row],[Mineral]]=$U$6,$V$6,IF(Tabela135[[#This Row],[Mineral]]=$U$7,$V$7,$V$8))))</f>
        <v>Zrn</v>
      </c>
      <c r="H3" s="1">
        <v>1127</v>
      </c>
      <c r="I3" s="10" t="s">
        <v>179</v>
      </c>
      <c r="J3" s="5" t="s">
        <v>180</v>
      </c>
      <c r="K3" s="1" t="s">
        <v>104</v>
      </c>
      <c r="M3" s="5" t="s">
        <v>105</v>
      </c>
      <c r="N3" s="1">
        <v>58.30361111111111</v>
      </c>
      <c r="O3" s="1">
        <v>58.30361111111111</v>
      </c>
      <c r="P3" s="1">
        <v>560734</v>
      </c>
      <c r="Q3" s="1">
        <v>6462976</v>
      </c>
      <c r="R3" s="2" t="s">
        <v>122</v>
      </c>
      <c r="U3" s="18" t="s">
        <v>94</v>
      </c>
      <c r="V3" s="1" t="s">
        <v>301</v>
      </c>
    </row>
    <row r="4" spans="1:22" x14ac:dyDescent="0.25">
      <c r="A4" s="1" t="s">
        <v>90</v>
      </c>
      <c r="B4" s="2">
        <v>230</v>
      </c>
      <c r="C4" s="2" t="s">
        <v>28</v>
      </c>
      <c r="D4" s="1" t="s">
        <v>3</v>
      </c>
      <c r="E4" s="1" t="s">
        <v>148</v>
      </c>
      <c r="F4" s="1" t="s">
        <v>12</v>
      </c>
      <c r="G4" s="1" t="str">
        <f>IF(Tabela135[[#This Row],[Mineral]]=$U$4,$V$4,IF(Tabela135[[#This Row],[Mineral]]=$U$5,$V$5,IF(Tabela135[[#This Row],[Mineral]]=$U$6,$V$6,IF(Tabela135[[#This Row],[Mineral]]=$U$7,$V$7,$V$8))))</f>
        <v>Mnz</v>
      </c>
      <c r="H4" s="1">
        <v>1766</v>
      </c>
      <c r="I4" s="4">
        <v>1</v>
      </c>
      <c r="J4" s="5" t="s">
        <v>5</v>
      </c>
      <c r="K4" s="1" t="s">
        <v>104</v>
      </c>
      <c r="M4" s="5" t="s">
        <v>105</v>
      </c>
      <c r="N4" s="1">
        <v>58.30361111111111</v>
      </c>
      <c r="O4" s="1">
        <v>58.30361111111111</v>
      </c>
      <c r="P4" s="1">
        <v>560734</v>
      </c>
      <c r="Q4" s="1">
        <v>6462976</v>
      </c>
      <c r="R4" s="2" t="s">
        <v>122</v>
      </c>
      <c r="U4" s="18" t="s">
        <v>8</v>
      </c>
      <c r="V4" s="22" t="s">
        <v>299</v>
      </c>
    </row>
    <row r="5" spans="1:22" s="9" customFormat="1" x14ac:dyDescent="0.25">
      <c r="A5" s="1" t="s">
        <v>90</v>
      </c>
      <c r="B5" s="2">
        <v>230</v>
      </c>
      <c r="C5" s="2" t="s">
        <v>28</v>
      </c>
      <c r="D5" s="1" t="s">
        <v>3</v>
      </c>
      <c r="E5" s="1" t="s">
        <v>148</v>
      </c>
      <c r="F5" s="1" t="s">
        <v>123</v>
      </c>
      <c r="G5" s="1" t="str">
        <f>IF(Tabela135[[#This Row],[Mineral]]=$U$4,$V$4,IF(Tabela135[[#This Row],[Mineral]]=$U$5,$V$5,IF(Tabela135[[#This Row],[Mineral]]=$U$6,$V$6,IF(Tabela135[[#This Row],[Mineral]]=$U$7,$V$7,$V$8))))</f>
        <v>Xtm</v>
      </c>
      <c r="H5" s="1">
        <v>1767</v>
      </c>
      <c r="I5" s="4">
        <v>2</v>
      </c>
      <c r="J5" s="5" t="s">
        <v>5</v>
      </c>
      <c r="K5" s="1" t="s">
        <v>104</v>
      </c>
      <c r="L5" s="1"/>
      <c r="M5" s="5" t="s">
        <v>105</v>
      </c>
      <c r="N5" s="1">
        <v>58.30361111111111</v>
      </c>
      <c r="O5" s="1">
        <v>58.30361111111111</v>
      </c>
      <c r="P5" s="1">
        <v>560734</v>
      </c>
      <c r="Q5" s="1">
        <v>6462976</v>
      </c>
      <c r="R5" s="2" t="s">
        <v>122</v>
      </c>
      <c r="S5" s="2"/>
      <c r="U5" s="18" t="s">
        <v>12</v>
      </c>
      <c r="V5" s="22" t="s">
        <v>295</v>
      </c>
    </row>
    <row r="6" spans="1:22" x14ac:dyDescent="0.25">
      <c r="A6" s="1" t="s">
        <v>48</v>
      </c>
      <c r="B6" s="2" t="s">
        <v>29</v>
      </c>
      <c r="C6" s="2" t="s">
        <v>30</v>
      </c>
      <c r="D6" s="1" t="s">
        <v>3</v>
      </c>
      <c r="E6" s="1" t="s">
        <v>148</v>
      </c>
      <c r="F6" s="1" t="s">
        <v>4</v>
      </c>
      <c r="G6" s="1" t="str">
        <f>IF(Tabela135[[#This Row],[Mineral]]=$U$4,$V$4,IF(Tabela135[[#This Row],[Mineral]]=$U$5,$V$5,IF(Tabela135[[#This Row],[Mineral]]=$U$6,$V$6,IF(Tabela135[[#This Row],[Mineral]]=$U$7,$V$7,$V$8))))</f>
        <v>Ttn</v>
      </c>
      <c r="H6" s="1">
        <v>1789</v>
      </c>
      <c r="I6" s="4">
        <v>4</v>
      </c>
      <c r="J6" s="5" t="s">
        <v>5</v>
      </c>
      <c r="K6" s="1" t="s">
        <v>149</v>
      </c>
      <c r="M6" s="5" t="s">
        <v>98</v>
      </c>
      <c r="N6" s="1">
        <v>-106.15277777777779</v>
      </c>
      <c r="O6" s="1">
        <v>56.831388888888895</v>
      </c>
      <c r="P6" s="1">
        <v>429777</v>
      </c>
      <c r="Q6" s="1">
        <v>6299228</v>
      </c>
      <c r="R6" s="2" t="s">
        <v>118</v>
      </c>
      <c r="U6" s="18" t="s">
        <v>123</v>
      </c>
      <c r="V6" s="22" t="s">
        <v>298</v>
      </c>
    </row>
    <row r="7" spans="1:22" x14ac:dyDescent="0.25">
      <c r="A7" s="1" t="s">
        <v>48</v>
      </c>
      <c r="B7" s="2" t="s">
        <v>20</v>
      </c>
      <c r="C7" s="2" t="s">
        <v>16</v>
      </c>
      <c r="D7" s="1" t="s">
        <v>3</v>
      </c>
      <c r="E7" s="1" t="s">
        <v>148</v>
      </c>
      <c r="F7" s="1" t="s">
        <v>4</v>
      </c>
      <c r="G7" s="1" t="str">
        <f>IF(Tabela135[[#This Row],[Mineral]]=$U$4,$V$4,IF(Tabela135[[#This Row],[Mineral]]=$U$5,$V$5,IF(Tabela135[[#This Row],[Mineral]]=$U$6,$V$6,IF(Tabela135[[#This Row],[Mineral]]=$U$7,$V$7,$V$8))))</f>
        <v>Ttn</v>
      </c>
      <c r="H7" s="1">
        <v>1783</v>
      </c>
      <c r="I7" s="4">
        <v>4</v>
      </c>
      <c r="J7" s="5" t="s">
        <v>5</v>
      </c>
      <c r="K7" s="1" t="s">
        <v>149</v>
      </c>
      <c r="M7" s="5" t="s">
        <v>98</v>
      </c>
      <c r="N7" s="1">
        <v>-106.12138888888889</v>
      </c>
      <c r="O7" s="1">
        <v>56.933055555555555</v>
      </c>
      <c r="P7" s="1">
        <v>431695</v>
      </c>
      <c r="Q7" s="1">
        <v>6308856</v>
      </c>
      <c r="R7" s="2" t="s">
        <v>122</v>
      </c>
      <c r="U7" s="1" t="s">
        <v>4</v>
      </c>
      <c r="V7" s="22" t="s">
        <v>296</v>
      </c>
    </row>
    <row r="8" spans="1:22" x14ac:dyDescent="0.25">
      <c r="A8" s="1" t="s">
        <v>48</v>
      </c>
      <c r="B8" s="2" t="s">
        <v>6</v>
      </c>
      <c r="C8" s="2" t="s">
        <v>7</v>
      </c>
      <c r="D8" s="1" t="s">
        <v>3</v>
      </c>
      <c r="E8" s="1" t="s">
        <v>148</v>
      </c>
      <c r="F8" s="1" t="s">
        <v>4</v>
      </c>
      <c r="G8" s="1" t="str">
        <f>IF(Tabela135[[#This Row],[Mineral]]=$U$4,$V$4,IF(Tabela135[[#This Row],[Mineral]]=$U$5,$V$5,IF(Tabela135[[#This Row],[Mineral]]=$U$6,$V$6,IF(Tabela135[[#This Row],[Mineral]]=$U$7,$V$7,$V$8))))</f>
        <v>Ttn</v>
      </c>
      <c r="H8" s="1">
        <v>1828</v>
      </c>
      <c r="I8" s="4">
        <v>3</v>
      </c>
      <c r="J8" s="5" t="s">
        <v>47</v>
      </c>
      <c r="K8" s="1" t="s">
        <v>149</v>
      </c>
      <c r="M8" s="5" t="s">
        <v>98</v>
      </c>
      <c r="N8" s="1">
        <v>-106.11472222222221</v>
      </c>
      <c r="O8" s="1">
        <v>56.922222222222217</v>
      </c>
      <c r="P8" s="1">
        <v>432113</v>
      </c>
      <c r="Q8" s="1">
        <v>6309305</v>
      </c>
      <c r="R8" s="2" t="s">
        <v>122</v>
      </c>
      <c r="S8" s="2" t="s">
        <v>119</v>
      </c>
      <c r="U8" s="18" t="s">
        <v>241</v>
      </c>
      <c r="V8" s="22" t="s">
        <v>297</v>
      </c>
    </row>
    <row r="9" spans="1:22" x14ac:dyDescent="0.25">
      <c r="A9" s="1" t="s">
        <v>48</v>
      </c>
      <c r="B9" s="2" t="s">
        <v>6</v>
      </c>
      <c r="C9" s="2" t="s">
        <v>7</v>
      </c>
      <c r="D9" s="1" t="s">
        <v>3</v>
      </c>
      <c r="E9" s="1" t="s">
        <v>148</v>
      </c>
      <c r="F9" s="1" t="s">
        <v>8</v>
      </c>
      <c r="G9" s="1" t="str">
        <f>IF(Tabela135[[#This Row],[Mineral]]=$U$4,$V$4,IF(Tabela135[[#This Row],[Mineral]]=$U$5,$V$5,IF(Tabela135[[#This Row],[Mineral]]=$U$6,$V$6,IF(Tabela135[[#This Row],[Mineral]]=$U$7,$V$7,$V$8))))</f>
        <v>Zrn</v>
      </c>
      <c r="H9" s="1">
        <v>1829</v>
      </c>
      <c r="I9" s="4">
        <v>1</v>
      </c>
      <c r="J9" s="5" t="s">
        <v>47</v>
      </c>
      <c r="K9" s="1" t="s">
        <v>149</v>
      </c>
      <c r="M9" s="5" t="s">
        <v>98</v>
      </c>
      <c r="N9" s="1">
        <v>-106.11472222222221</v>
      </c>
      <c r="O9" s="1">
        <v>56.922222222222217</v>
      </c>
      <c r="P9" s="1">
        <v>432113</v>
      </c>
      <c r="Q9" s="1">
        <v>6309305</v>
      </c>
      <c r="R9" s="2" t="s">
        <v>122</v>
      </c>
      <c r="S9" s="2" t="s">
        <v>119</v>
      </c>
    </row>
    <row r="10" spans="1:22" x14ac:dyDescent="0.25">
      <c r="A10" s="1" t="s">
        <v>48</v>
      </c>
      <c r="B10" s="2" t="s">
        <v>25</v>
      </c>
      <c r="C10" s="2" t="s">
        <v>26</v>
      </c>
      <c r="D10" s="1" t="s">
        <v>3</v>
      </c>
      <c r="E10" s="1" t="s">
        <v>148</v>
      </c>
      <c r="F10" s="1" t="s">
        <v>8</v>
      </c>
      <c r="G10" s="1" t="str">
        <f>IF(Tabela135[[#This Row],[Mineral]]=$U$4,$V$4,IF(Tabela135[[#This Row],[Mineral]]=$U$5,$V$5,IF(Tabela135[[#This Row],[Mineral]]=$U$6,$V$6,IF(Tabela135[[#This Row],[Mineral]]=$U$7,$V$7,$V$8))))</f>
        <v>Zrn</v>
      </c>
      <c r="H10" s="1">
        <v>2733</v>
      </c>
      <c r="I10" s="4" t="s">
        <v>190</v>
      </c>
      <c r="J10" s="5" t="s">
        <v>47</v>
      </c>
      <c r="K10" s="1" t="s">
        <v>149</v>
      </c>
      <c r="M10" s="5" t="s">
        <v>98</v>
      </c>
      <c r="N10" s="1">
        <v>57.005833333333335</v>
      </c>
      <c r="O10" s="1">
        <v>57.005833333333335</v>
      </c>
      <c r="P10" s="1">
        <v>435888</v>
      </c>
      <c r="Q10" s="1">
        <v>6318556</v>
      </c>
      <c r="R10" s="2" t="s">
        <v>118</v>
      </c>
    </row>
    <row r="11" spans="1:22" x14ac:dyDescent="0.25">
      <c r="A11" s="1" t="s">
        <v>90</v>
      </c>
      <c r="B11" s="2" t="s">
        <v>73</v>
      </c>
      <c r="C11" s="2" t="s">
        <v>58</v>
      </c>
      <c r="D11" s="1" t="s">
        <v>3</v>
      </c>
      <c r="E11" s="1" t="s">
        <v>148</v>
      </c>
      <c r="F11" s="1" t="s">
        <v>8</v>
      </c>
      <c r="G11" s="1" t="str">
        <f>IF(Tabela135[[#This Row],[Mineral]]=$U$4,$V$4,IF(Tabela135[[#This Row],[Mineral]]=$U$5,$V$5,IF(Tabela135[[#This Row],[Mineral]]=$U$6,$V$6,IF(Tabela135[[#This Row],[Mineral]]=$U$7,$V$7,$V$8))))</f>
        <v>Zrn</v>
      </c>
      <c r="H11" s="1">
        <v>1815</v>
      </c>
      <c r="I11" s="4">
        <v>2</v>
      </c>
      <c r="J11" s="5" t="s">
        <v>47</v>
      </c>
      <c r="K11" s="1" t="s">
        <v>149</v>
      </c>
      <c r="M11" s="5" t="s">
        <v>97</v>
      </c>
      <c r="N11" s="1">
        <v>58.176388888888887</v>
      </c>
      <c r="O11" s="1">
        <v>58.176388888888887</v>
      </c>
      <c r="P11" s="1">
        <v>574567</v>
      </c>
      <c r="Q11" s="1">
        <v>6449063</v>
      </c>
      <c r="R11" s="2" t="s">
        <v>118</v>
      </c>
    </row>
    <row r="12" spans="1:22" x14ac:dyDescent="0.25">
      <c r="A12" s="1" t="s">
        <v>90</v>
      </c>
      <c r="B12" s="2" t="s">
        <v>73</v>
      </c>
      <c r="C12" s="2" t="s">
        <v>58</v>
      </c>
      <c r="D12" s="1" t="s">
        <v>3</v>
      </c>
      <c r="E12" s="1" t="s">
        <v>148</v>
      </c>
      <c r="F12" s="1" t="s">
        <v>4</v>
      </c>
      <c r="G12" s="1" t="str">
        <f>IF(Tabela135[[#This Row],[Mineral]]=$U$4,$V$4,IF(Tabela135[[#This Row],[Mineral]]=$U$5,$V$5,IF(Tabela135[[#This Row],[Mineral]]=$U$6,$V$6,IF(Tabela135[[#This Row],[Mineral]]=$U$7,$V$7,$V$8))))</f>
        <v>Ttn</v>
      </c>
      <c r="H12" s="1">
        <v>1788</v>
      </c>
      <c r="I12" s="4">
        <v>2</v>
      </c>
      <c r="J12" s="5" t="s">
        <v>5</v>
      </c>
      <c r="K12" s="1" t="s">
        <v>149</v>
      </c>
      <c r="M12" s="5" t="s">
        <v>97</v>
      </c>
      <c r="N12" s="1">
        <v>58.176388888888887</v>
      </c>
      <c r="O12" s="1">
        <v>58.176388888888887</v>
      </c>
      <c r="P12" s="1">
        <v>574567</v>
      </c>
      <c r="Q12" s="1">
        <v>6449063</v>
      </c>
      <c r="R12" s="2" t="s">
        <v>118</v>
      </c>
    </row>
    <row r="13" spans="1:22" x14ac:dyDescent="0.25">
      <c r="A13" s="1" t="s">
        <v>90</v>
      </c>
      <c r="B13" s="2" t="s">
        <v>74</v>
      </c>
      <c r="C13" s="2" t="s">
        <v>75</v>
      </c>
      <c r="D13" s="1" t="s">
        <v>3</v>
      </c>
      <c r="E13" s="1" t="s">
        <v>148</v>
      </c>
      <c r="F13" s="1" t="s">
        <v>12</v>
      </c>
      <c r="G13" s="1" t="str">
        <f>IF(Tabela135[[#This Row],[Mineral]]=$U$4,$V$4,IF(Tabela135[[#This Row],[Mineral]]=$U$5,$V$5,IF(Tabela135[[#This Row],[Mineral]]=$U$6,$V$6,IF(Tabela135[[#This Row],[Mineral]]=$U$7,$V$7,$V$8))))</f>
        <v>Mnz</v>
      </c>
      <c r="H13" s="1">
        <v>1812</v>
      </c>
      <c r="I13" s="4">
        <v>2</v>
      </c>
      <c r="J13" s="5" t="s">
        <v>5</v>
      </c>
      <c r="K13" s="1" t="s">
        <v>149</v>
      </c>
      <c r="M13" s="5" t="s">
        <v>97</v>
      </c>
      <c r="N13" s="1">
        <v>58.149722222222223</v>
      </c>
      <c r="O13" s="1">
        <v>58.149722222222223</v>
      </c>
      <c r="P13" s="1">
        <v>573147</v>
      </c>
      <c r="Q13" s="1">
        <v>6446066</v>
      </c>
      <c r="R13" s="2" t="s">
        <v>118</v>
      </c>
    </row>
    <row r="14" spans="1:22" x14ac:dyDescent="0.25">
      <c r="A14" s="1" t="s">
        <v>90</v>
      </c>
      <c r="B14" s="2" t="s">
        <v>70</v>
      </c>
      <c r="C14" s="2" t="s">
        <v>71</v>
      </c>
      <c r="D14" s="1" t="s">
        <v>3</v>
      </c>
      <c r="E14" s="1" t="s">
        <v>148</v>
      </c>
      <c r="F14" s="1" t="s">
        <v>8</v>
      </c>
      <c r="G14" s="1" t="str">
        <f>IF(Tabela135[[#This Row],[Mineral]]=$U$4,$V$4,IF(Tabela135[[#This Row],[Mineral]]=$U$5,$V$5,IF(Tabela135[[#This Row],[Mineral]]=$U$6,$V$6,IF(Tabela135[[#This Row],[Mineral]]=$U$7,$V$7,$V$8))))</f>
        <v>Zrn</v>
      </c>
      <c r="H14" s="1" t="s">
        <v>72</v>
      </c>
      <c r="I14" s="4" t="s">
        <v>15</v>
      </c>
      <c r="J14" s="5" t="s">
        <v>13</v>
      </c>
      <c r="K14" s="1" t="s">
        <v>149</v>
      </c>
      <c r="M14" s="5" t="s">
        <v>97</v>
      </c>
      <c r="N14" s="1">
        <v>-103.76</v>
      </c>
      <c r="O14" s="1">
        <v>58.144166666666663</v>
      </c>
      <c r="P14" s="1">
        <v>572965</v>
      </c>
      <c r="Q14" s="1">
        <v>6445460</v>
      </c>
      <c r="R14" s="2" t="s">
        <v>118</v>
      </c>
    </row>
    <row r="15" spans="1:22" x14ac:dyDescent="0.25">
      <c r="A15" s="1" t="s">
        <v>90</v>
      </c>
      <c r="B15" s="2" t="s">
        <v>70</v>
      </c>
      <c r="C15" s="2" t="s">
        <v>71</v>
      </c>
      <c r="D15" s="1" t="s">
        <v>3</v>
      </c>
      <c r="E15" s="1" t="s">
        <v>148</v>
      </c>
      <c r="F15" s="1" t="s">
        <v>12</v>
      </c>
      <c r="G15" s="1" t="str">
        <f>IF(Tabela135[[#This Row],[Mineral]]=$U$4,$V$4,IF(Tabela135[[#This Row],[Mineral]]=$U$5,$V$5,IF(Tabela135[[#This Row],[Mineral]]=$U$6,$V$6,IF(Tabela135[[#This Row],[Mineral]]=$U$7,$V$7,$V$8))))</f>
        <v>Mnz</v>
      </c>
      <c r="H15" s="1">
        <v>1816</v>
      </c>
      <c r="I15" s="4">
        <v>2</v>
      </c>
      <c r="J15" s="5" t="s">
        <v>5</v>
      </c>
      <c r="K15" s="1" t="s">
        <v>149</v>
      </c>
      <c r="M15" s="5" t="s">
        <v>97</v>
      </c>
      <c r="N15" s="1">
        <v>-103.76</v>
      </c>
      <c r="O15" s="1">
        <v>58.144166666666663</v>
      </c>
      <c r="P15" s="1">
        <v>572965</v>
      </c>
      <c r="Q15" s="1">
        <v>6445460</v>
      </c>
      <c r="R15" s="2" t="s">
        <v>118</v>
      </c>
    </row>
    <row r="16" spans="1:22" x14ac:dyDescent="0.25">
      <c r="A16" s="1" t="s">
        <v>90</v>
      </c>
      <c r="B16" s="2" t="s">
        <v>69</v>
      </c>
      <c r="C16" s="2" t="s">
        <v>2</v>
      </c>
      <c r="D16" s="1" t="s">
        <v>3</v>
      </c>
      <c r="E16" s="1" t="s">
        <v>148</v>
      </c>
      <c r="F16" s="1" t="s">
        <v>8</v>
      </c>
      <c r="G16" s="1" t="str">
        <f>IF(Tabela135[[#This Row],[Mineral]]=$U$4,$V$4,IF(Tabela135[[#This Row],[Mineral]]=$U$5,$V$5,IF(Tabela135[[#This Row],[Mineral]]=$U$6,$V$6,IF(Tabela135[[#This Row],[Mineral]]=$U$7,$V$7,$V$8))))</f>
        <v>Zrn</v>
      </c>
      <c r="H16" s="1">
        <v>2620</v>
      </c>
      <c r="I16" s="4" t="s">
        <v>186</v>
      </c>
      <c r="J16" s="5" t="s">
        <v>47</v>
      </c>
      <c r="K16" s="1" t="s">
        <v>149</v>
      </c>
      <c r="M16" s="5" t="s">
        <v>187</v>
      </c>
      <c r="N16" s="1">
        <v>-103.75694444444444</v>
      </c>
      <c r="O16" s="1">
        <v>58.146666666666668</v>
      </c>
      <c r="P16" s="1">
        <v>573125</v>
      </c>
      <c r="Q16" s="1">
        <v>6445480</v>
      </c>
      <c r="R16" s="2" t="s">
        <v>118</v>
      </c>
    </row>
    <row r="17" spans="1:22" x14ac:dyDescent="0.25">
      <c r="A17" s="1" t="s">
        <v>90</v>
      </c>
      <c r="B17" s="2" t="s">
        <v>69</v>
      </c>
      <c r="C17" s="2" t="s">
        <v>2</v>
      </c>
      <c r="D17" s="1" t="s">
        <v>3</v>
      </c>
      <c r="E17" s="1" t="s">
        <v>148</v>
      </c>
      <c r="F17" s="1" t="s">
        <v>8</v>
      </c>
      <c r="G17" s="1" t="str">
        <f>IF(Tabela135[[#This Row],[Mineral]]=$U$4,$V$4,IF(Tabela135[[#This Row],[Mineral]]=$U$5,$V$5,IF(Tabela135[[#This Row],[Mineral]]=$U$6,$V$6,IF(Tabela135[[#This Row],[Mineral]]=$U$7,$V$7,$V$8))))</f>
        <v>Zrn</v>
      </c>
      <c r="H17" s="1">
        <v>1798</v>
      </c>
      <c r="I17" s="4" t="s">
        <v>188</v>
      </c>
      <c r="J17" s="5" t="s">
        <v>189</v>
      </c>
      <c r="K17" s="1" t="s">
        <v>149</v>
      </c>
      <c r="M17" s="5" t="s">
        <v>187</v>
      </c>
      <c r="N17" s="1">
        <v>-103.75694444444444</v>
      </c>
      <c r="O17" s="1">
        <v>58.146666666666668</v>
      </c>
      <c r="P17" s="1">
        <v>573125</v>
      </c>
      <c r="Q17" s="1">
        <v>6445480</v>
      </c>
      <c r="R17" s="2" t="s">
        <v>118</v>
      </c>
    </row>
    <row r="18" spans="1:22" x14ac:dyDescent="0.25">
      <c r="A18" s="1" t="s">
        <v>90</v>
      </c>
      <c r="B18" s="2" t="s">
        <v>69</v>
      </c>
      <c r="C18" s="2" t="s">
        <v>2</v>
      </c>
      <c r="D18" s="1" t="s">
        <v>3</v>
      </c>
      <c r="E18" s="1" t="s">
        <v>148</v>
      </c>
      <c r="F18" s="1" t="s">
        <v>4</v>
      </c>
      <c r="G18" s="1" t="str">
        <f>IF(Tabela135[[#This Row],[Mineral]]=$U$4,$V$4,IF(Tabela135[[#This Row],[Mineral]]=$U$5,$V$5,IF(Tabela135[[#This Row],[Mineral]]=$U$6,$V$6,IF(Tabela135[[#This Row],[Mineral]]=$U$7,$V$7,$V$8))))</f>
        <v>Ttn</v>
      </c>
      <c r="H18" s="1">
        <v>1789</v>
      </c>
      <c r="I18" s="4">
        <v>2</v>
      </c>
      <c r="J18" s="5" t="s">
        <v>5</v>
      </c>
      <c r="K18" s="1" t="s">
        <v>149</v>
      </c>
      <c r="M18" s="5" t="s">
        <v>187</v>
      </c>
      <c r="N18" s="1">
        <v>-103.75694444444444</v>
      </c>
      <c r="O18" s="1">
        <v>58.146666666666668</v>
      </c>
      <c r="P18" s="1">
        <v>573125</v>
      </c>
      <c r="Q18" s="1">
        <v>6445480</v>
      </c>
      <c r="R18" s="2" t="s">
        <v>118</v>
      </c>
      <c r="S18" s="2" t="s">
        <v>120</v>
      </c>
    </row>
    <row r="19" spans="1:22" x14ac:dyDescent="0.25">
      <c r="A19" s="1" t="s">
        <v>90</v>
      </c>
      <c r="B19" s="2" t="s">
        <v>85</v>
      </c>
      <c r="C19" s="2" t="s">
        <v>55</v>
      </c>
      <c r="D19" s="1" t="s">
        <v>3</v>
      </c>
      <c r="E19" s="1" t="s">
        <v>148</v>
      </c>
      <c r="F19" s="1" t="s">
        <v>8</v>
      </c>
      <c r="G19" s="1" t="str">
        <f>IF(Tabela135[[#This Row],[Mineral]]=$U$4,$V$4,IF(Tabela135[[#This Row],[Mineral]]=$U$5,$V$5,IF(Tabela135[[#This Row],[Mineral]]=$U$6,$V$6,IF(Tabela135[[#This Row],[Mineral]]=$U$7,$V$7,$V$8))))</f>
        <v>Zrn</v>
      </c>
      <c r="H19" s="1">
        <v>2689</v>
      </c>
      <c r="I19" s="4" t="s">
        <v>183</v>
      </c>
      <c r="J19" s="5" t="s">
        <v>47</v>
      </c>
      <c r="K19" s="1" t="s">
        <v>149</v>
      </c>
      <c r="M19" s="5" t="s">
        <v>121</v>
      </c>
      <c r="N19" s="1">
        <v>58.077777777777783</v>
      </c>
      <c r="O19" s="1">
        <v>58.077777777777783</v>
      </c>
      <c r="P19" s="1">
        <v>586788</v>
      </c>
      <c r="Q19" s="1">
        <v>6438323</v>
      </c>
      <c r="R19" s="2" t="s">
        <v>118</v>
      </c>
      <c r="S19" s="2" t="s">
        <v>120</v>
      </c>
    </row>
    <row r="20" spans="1:22" x14ac:dyDescent="0.25">
      <c r="A20" s="1" t="s">
        <v>90</v>
      </c>
      <c r="B20" s="2" t="s">
        <v>85</v>
      </c>
      <c r="C20" s="2" t="s">
        <v>55</v>
      </c>
      <c r="D20" s="1" t="s">
        <v>3</v>
      </c>
      <c r="E20" s="1" t="s">
        <v>148</v>
      </c>
      <c r="F20" s="1" t="s">
        <v>4</v>
      </c>
      <c r="G20" s="1" t="str">
        <f>IF(Tabela135[[#This Row],[Mineral]]=$U$4,$V$4,IF(Tabela135[[#This Row],[Mineral]]=$U$5,$V$5,IF(Tabela135[[#This Row],[Mineral]]=$U$6,$V$6,IF(Tabela135[[#This Row],[Mineral]]=$U$7,$V$7,$V$8))))</f>
        <v>Ttn</v>
      </c>
      <c r="H20" s="1">
        <v>1778</v>
      </c>
      <c r="I20" s="4">
        <v>2</v>
      </c>
      <c r="J20" s="5" t="s">
        <v>5</v>
      </c>
      <c r="K20" s="1" t="s">
        <v>149</v>
      </c>
      <c r="M20" s="5" t="s">
        <v>121</v>
      </c>
      <c r="N20" s="1">
        <v>58.077777777777783</v>
      </c>
      <c r="O20" s="1">
        <v>58.077777777777783</v>
      </c>
      <c r="P20" s="1">
        <v>586788</v>
      </c>
      <c r="Q20" s="1">
        <v>6438323</v>
      </c>
      <c r="R20" s="2" t="s">
        <v>118</v>
      </c>
      <c r="S20" s="2" t="s">
        <v>120</v>
      </c>
    </row>
    <row r="21" spans="1:22" x14ac:dyDescent="0.25">
      <c r="A21" s="1" t="s">
        <v>90</v>
      </c>
      <c r="B21" s="2" t="s">
        <v>85</v>
      </c>
      <c r="C21" s="2" t="s">
        <v>55</v>
      </c>
      <c r="D21" s="1" t="s">
        <v>3</v>
      </c>
      <c r="E21" s="1" t="s">
        <v>148</v>
      </c>
      <c r="F21" s="1" t="s">
        <v>8</v>
      </c>
      <c r="G21" s="1" t="str">
        <f>IF(Tabela135[[#This Row],[Mineral]]=$U$4,$V$4,IF(Tabela135[[#This Row],[Mineral]]=$U$5,$V$5,IF(Tabela135[[#This Row],[Mineral]]=$U$6,$V$6,IF(Tabela135[[#This Row],[Mineral]]=$U$7,$V$7,$V$8))))</f>
        <v>Zrn</v>
      </c>
      <c r="H21" s="1">
        <v>2566</v>
      </c>
      <c r="I21" s="4" t="s">
        <v>182</v>
      </c>
      <c r="J21" s="5" t="s">
        <v>5</v>
      </c>
      <c r="K21" s="1" t="s">
        <v>149</v>
      </c>
      <c r="M21" s="5" t="s">
        <v>121</v>
      </c>
      <c r="N21" s="1">
        <v>58.077777777777783</v>
      </c>
      <c r="O21" s="1">
        <v>58.077777777777783</v>
      </c>
      <c r="P21" s="1">
        <v>586788</v>
      </c>
      <c r="Q21" s="1">
        <v>6438323</v>
      </c>
      <c r="R21" s="2" t="s">
        <v>118</v>
      </c>
      <c r="S21" s="2" t="s">
        <v>120</v>
      </c>
    </row>
    <row r="22" spans="1:22" x14ac:dyDescent="0.25">
      <c r="A22" s="1" t="s">
        <v>90</v>
      </c>
      <c r="B22" s="2" t="s">
        <v>83</v>
      </c>
      <c r="C22" s="2" t="s">
        <v>84</v>
      </c>
      <c r="D22" s="1" t="s">
        <v>3</v>
      </c>
      <c r="E22" s="1" t="s">
        <v>148</v>
      </c>
      <c r="F22" s="1" t="s">
        <v>8</v>
      </c>
      <c r="G22" s="1" t="str">
        <f>IF(Tabela135[[#This Row],[Mineral]]=$U$4,$V$4,IF(Tabela135[[#This Row],[Mineral]]=$U$5,$V$5,IF(Tabela135[[#This Row],[Mineral]]=$U$6,$V$6,IF(Tabela135[[#This Row],[Mineral]]=$U$7,$V$7,$V$8))))</f>
        <v>Zrn</v>
      </c>
      <c r="H22" s="1">
        <v>2638</v>
      </c>
      <c r="I22" s="4" t="s">
        <v>184</v>
      </c>
      <c r="J22" s="5" t="s">
        <v>47</v>
      </c>
      <c r="K22" s="1" t="s">
        <v>149</v>
      </c>
      <c r="M22" s="5" t="s">
        <v>121</v>
      </c>
      <c r="N22" s="1">
        <v>58.13388888888889</v>
      </c>
      <c r="O22" s="1">
        <v>58.13388888888889</v>
      </c>
      <c r="P22" s="1">
        <v>587482</v>
      </c>
      <c r="Q22" s="1">
        <v>6444603</v>
      </c>
      <c r="R22" s="2" t="s">
        <v>118</v>
      </c>
    </row>
    <row r="23" spans="1:22" x14ac:dyDescent="0.25">
      <c r="A23" s="1" t="s">
        <v>90</v>
      </c>
      <c r="B23" s="2" t="s">
        <v>83</v>
      </c>
      <c r="C23" s="2" t="s">
        <v>84</v>
      </c>
      <c r="D23" s="1" t="s">
        <v>3</v>
      </c>
      <c r="E23" s="1" t="s">
        <v>148</v>
      </c>
      <c r="F23" s="1" t="s">
        <v>4</v>
      </c>
      <c r="G23" s="1" t="str">
        <f>IF(Tabela135[[#This Row],[Mineral]]=$U$4,$V$4,IF(Tabela135[[#This Row],[Mineral]]=$U$5,$V$5,IF(Tabela135[[#This Row],[Mineral]]=$U$6,$V$6,IF(Tabela135[[#This Row],[Mineral]]=$U$7,$V$7,$V$8))))</f>
        <v>Ttn</v>
      </c>
      <c r="H23" s="1">
        <v>1779</v>
      </c>
      <c r="I23" s="4">
        <v>2</v>
      </c>
      <c r="J23" s="5" t="s">
        <v>5</v>
      </c>
      <c r="K23" s="1" t="s">
        <v>149</v>
      </c>
      <c r="M23" s="5" t="s">
        <v>121</v>
      </c>
      <c r="N23" s="1">
        <v>58.13388888888889</v>
      </c>
      <c r="O23" s="1">
        <v>58.13388888888889</v>
      </c>
      <c r="P23" s="1">
        <v>587482</v>
      </c>
      <c r="Q23" s="1">
        <v>6444603</v>
      </c>
      <c r="R23" s="2" t="s">
        <v>118</v>
      </c>
      <c r="S23" s="2" t="s">
        <v>120</v>
      </c>
      <c r="V23" s="22"/>
    </row>
    <row r="24" spans="1:22" x14ac:dyDescent="0.25">
      <c r="A24" s="1" t="s">
        <v>90</v>
      </c>
      <c r="B24" s="2" t="s">
        <v>76</v>
      </c>
      <c r="C24" s="2" t="s">
        <v>77</v>
      </c>
      <c r="D24" s="1" t="s">
        <v>3</v>
      </c>
      <c r="E24" s="1" t="s">
        <v>148</v>
      </c>
      <c r="F24" s="1" t="s">
        <v>8</v>
      </c>
      <c r="G24" s="1" t="str">
        <f>IF(Tabela135[[#This Row],[Mineral]]=$U$4,$V$4,IF(Tabela135[[#This Row],[Mineral]]=$U$5,$V$5,IF(Tabela135[[#This Row],[Mineral]]=$U$6,$V$6,IF(Tabela135[[#This Row],[Mineral]]=$U$7,$V$7,$V$8))))</f>
        <v>Zrn</v>
      </c>
      <c r="H24" s="1">
        <v>1719</v>
      </c>
      <c r="I24" s="4">
        <v>1</v>
      </c>
      <c r="J24" s="5" t="s">
        <v>5</v>
      </c>
      <c r="K24" s="1" t="s">
        <v>149</v>
      </c>
      <c r="M24" s="5" t="s">
        <v>97</v>
      </c>
      <c r="N24" s="1">
        <v>-103.58527777777778</v>
      </c>
      <c r="O24" s="1">
        <v>58.208333333333336</v>
      </c>
      <c r="P24" s="1">
        <v>583112</v>
      </c>
      <c r="Q24" s="1">
        <v>6452798</v>
      </c>
      <c r="R24" s="2" t="s">
        <v>116</v>
      </c>
      <c r="V24" s="22"/>
    </row>
    <row r="25" spans="1:22" x14ac:dyDescent="0.25">
      <c r="A25" s="1" t="s">
        <v>90</v>
      </c>
      <c r="B25" s="2" t="s">
        <v>76</v>
      </c>
      <c r="C25" s="2" t="s">
        <v>77</v>
      </c>
      <c r="D25" s="1" t="s">
        <v>3</v>
      </c>
      <c r="E25" s="1" t="s">
        <v>148</v>
      </c>
      <c r="F25" s="1" t="s">
        <v>12</v>
      </c>
      <c r="G25" s="1" t="str">
        <f>IF(Tabela135[[#This Row],[Mineral]]=$U$4,$V$4,IF(Tabela135[[#This Row],[Mineral]]=$U$5,$V$5,IF(Tabela135[[#This Row],[Mineral]]=$U$6,$V$6,IF(Tabela135[[#This Row],[Mineral]]=$U$7,$V$7,$V$8))))</f>
        <v>Mnz</v>
      </c>
      <c r="H25" s="1">
        <v>1782</v>
      </c>
      <c r="I25" s="4">
        <v>1</v>
      </c>
      <c r="J25" s="5" t="s">
        <v>5</v>
      </c>
      <c r="K25" s="1" t="s">
        <v>149</v>
      </c>
      <c r="M25" s="5" t="s">
        <v>97</v>
      </c>
      <c r="N25" s="1">
        <v>-103.58527777777778</v>
      </c>
      <c r="O25" s="1">
        <v>58.208333333333336</v>
      </c>
      <c r="P25" s="1">
        <v>583112</v>
      </c>
      <c r="Q25" s="1">
        <v>6452798</v>
      </c>
      <c r="R25" s="2" t="s">
        <v>116</v>
      </c>
      <c r="V25" s="22"/>
    </row>
    <row r="26" spans="1:22" x14ac:dyDescent="0.25">
      <c r="A26" s="1" t="s">
        <v>90</v>
      </c>
      <c r="B26" s="2" t="s">
        <v>78</v>
      </c>
      <c r="C26" s="2" t="s">
        <v>79</v>
      </c>
      <c r="D26" s="1" t="s">
        <v>3</v>
      </c>
      <c r="E26" s="1" t="s">
        <v>148</v>
      </c>
      <c r="F26" s="1" t="s">
        <v>8</v>
      </c>
      <c r="G26" s="1" t="str">
        <f>IF(Tabela135[[#This Row],[Mineral]]=$U$4,$V$4,IF(Tabela135[[#This Row],[Mineral]]=$U$5,$V$5,IF(Tabela135[[#This Row],[Mineral]]=$U$6,$V$6,IF(Tabela135[[#This Row],[Mineral]]=$U$7,$V$7,$V$8))))</f>
        <v>Zrn</v>
      </c>
      <c r="H26" s="1">
        <v>1820</v>
      </c>
      <c r="I26" s="4">
        <v>5</v>
      </c>
      <c r="J26" s="5" t="s">
        <v>47</v>
      </c>
      <c r="K26" s="1" t="s">
        <v>149</v>
      </c>
      <c r="M26" s="5" t="s">
        <v>97</v>
      </c>
      <c r="N26" s="1">
        <v>-103.59722222222221</v>
      </c>
      <c r="O26" s="1">
        <v>58.205555555555556</v>
      </c>
      <c r="P26" s="1">
        <v>583144</v>
      </c>
      <c r="Q26" s="1">
        <v>6452482</v>
      </c>
      <c r="R26" s="2" t="s">
        <v>118</v>
      </c>
      <c r="V26" s="22"/>
    </row>
    <row r="27" spans="1:22" x14ac:dyDescent="0.25">
      <c r="A27" s="1" t="s">
        <v>48</v>
      </c>
      <c r="B27" s="2" t="s">
        <v>9</v>
      </c>
      <c r="C27" s="2" t="s">
        <v>10</v>
      </c>
      <c r="D27" s="1" t="s">
        <v>3</v>
      </c>
      <c r="E27" s="1" t="s">
        <v>148</v>
      </c>
      <c r="F27" s="1" t="s">
        <v>8</v>
      </c>
      <c r="G27" s="1" t="str">
        <f>IF(Tabela135[[#This Row],[Mineral]]=$U$4,$V$4,IF(Tabela135[[#This Row],[Mineral]]=$U$5,$V$5,IF(Tabela135[[#This Row],[Mineral]]=$U$6,$V$6,IF(Tabela135[[#This Row],[Mineral]]=$U$7,$V$7,$V$8))))</f>
        <v>Zrn</v>
      </c>
      <c r="H27" s="1" t="s">
        <v>14</v>
      </c>
      <c r="I27" s="4" t="s">
        <v>15</v>
      </c>
      <c r="J27" s="5" t="s">
        <v>13</v>
      </c>
      <c r="K27" s="1" t="s">
        <v>149</v>
      </c>
      <c r="M27" s="5" t="s">
        <v>98</v>
      </c>
      <c r="N27" s="1">
        <v>56.939166666666665</v>
      </c>
      <c r="O27" s="1">
        <v>56.939166666666665</v>
      </c>
      <c r="P27" s="1">
        <v>431133</v>
      </c>
      <c r="Q27" s="1">
        <v>6311188</v>
      </c>
      <c r="R27" s="2" t="s">
        <v>118</v>
      </c>
      <c r="V27" s="22"/>
    </row>
    <row r="28" spans="1:22" x14ac:dyDescent="0.25">
      <c r="A28" s="1" t="s">
        <v>48</v>
      </c>
      <c r="B28" s="2" t="s">
        <v>9</v>
      </c>
      <c r="C28" s="2" t="s">
        <v>10</v>
      </c>
      <c r="D28" s="1" t="s">
        <v>3</v>
      </c>
      <c r="E28" s="1" t="s">
        <v>148</v>
      </c>
      <c r="F28" s="1" t="s">
        <v>12</v>
      </c>
      <c r="G28" s="1" t="str">
        <f>IF(Tabela135[[#This Row],[Mineral]]=$U$4,$V$4,IF(Tabela135[[#This Row],[Mineral]]=$U$5,$V$5,IF(Tabela135[[#This Row],[Mineral]]=$U$6,$V$6,IF(Tabela135[[#This Row],[Mineral]]=$U$7,$V$7,$V$8))))</f>
        <v>Mnz</v>
      </c>
      <c r="H28" s="1">
        <v>1814</v>
      </c>
      <c r="I28" s="4">
        <v>2</v>
      </c>
      <c r="J28" s="5" t="s">
        <v>5</v>
      </c>
      <c r="K28" s="1" t="s">
        <v>149</v>
      </c>
      <c r="M28" s="5" t="s">
        <v>98</v>
      </c>
      <c r="N28" s="1">
        <v>56.939166666666665</v>
      </c>
      <c r="O28" s="1">
        <v>56.939166666666665</v>
      </c>
      <c r="P28" s="1">
        <v>431133</v>
      </c>
      <c r="Q28" s="1">
        <v>6311188</v>
      </c>
      <c r="R28" s="2" t="s">
        <v>118</v>
      </c>
    </row>
    <row r="29" spans="1:22" x14ac:dyDescent="0.25">
      <c r="A29" s="1" t="s">
        <v>48</v>
      </c>
      <c r="B29" s="2" t="s">
        <v>11</v>
      </c>
      <c r="C29" s="2" t="s">
        <v>16</v>
      </c>
      <c r="D29" s="1" t="s">
        <v>3</v>
      </c>
      <c r="E29" s="1" t="s">
        <v>148</v>
      </c>
      <c r="F29" s="1" t="s">
        <v>4</v>
      </c>
      <c r="G29" s="1" t="str">
        <f>IF(Tabela135[[#This Row],[Mineral]]=$U$4,$V$4,IF(Tabela135[[#This Row],[Mineral]]=$U$5,$V$5,IF(Tabela135[[#This Row],[Mineral]]=$U$6,$V$6,IF(Tabela135[[#This Row],[Mineral]]=$U$7,$V$7,$V$8))))</f>
        <v>Ttn</v>
      </c>
      <c r="H29" s="1">
        <v>1796</v>
      </c>
      <c r="I29" s="4">
        <v>4</v>
      </c>
      <c r="J29" s="5" t="s">
        <v>5</v>
      </c>
      <c r="K29" s="1" t="s">
        <v>149</v>
      </c>
      <c r="M29" s="5" t="s">
        <v>98</v>
      </c>
      <c r="N29" s="1">
        <v>-106.13444444444445</v>
      </c>
      <c r="O29" s="1">
        <v>56.933055555555555</v>
      </c>
      <c r="P29" s="1">
        <v>430929</v>
      </c>
      <c r="Q29" s="1">
        <v>6310520</v>
      </c>
      <c r="R29" s="2" t="s">
        <v>122</v>
      </c>
    </row>
    <row r="30" spans="1:22" x14ac:dyDescent="0.25">
      <c r="A30" s="1" t="s">
        <v>48</v>
      </c>
      <c r="B30" s="2" t="s">
        <v>1</v>
      </c>
      <c r="C30" s="2" t="s">
        <v>2</v>
      </c>
      <c r="D30" s="1" t="s">
        <v>3</v>
      </c>
      <c r="E30" s="1" t="s">
        <v>148</v>
      </c>
      <c r="F30" s="1" t="s">
        <v>4</v>
      </c>
      <c r="G30" s="1" t="str">
        <f>IF(Tabela135[[#This Row],[Mineral]]=$U$4,$V$4,IF(Tabela135[[#This Row],[Mineral]]=$U$5,$V$5,IF(Tabela135[[#This Row],[Mineral]]=$U$6,$V$6,IF(Tabela135[[#This Row],[Mineral]]=$U$7,$V$7,$V$8))))</f>
        <v>Ttn</v>
      </c>
      <c r="H30" s="1">
        <v>1792</v>
      </c>
      <c r="I30" s="4">
        <v>4</v>
      </c>
      <c r="J30" s="5" t="s">
        <v>5</v>
      </c>
      <c r="K30" s="1" t="s">
        <v>149</v>
      </c>
      <c r="M30" s="5" t="s">
        <v>98</v>
      </c>
      <c r="N30" s="1">
        <v>-106.13</v>
      </c>
      <c r="O30" s="1">
        <v>56.955833333333338</v>
      </c>
      <c r="P30" s="1">
        <v>431247</v>
      </c>
      <c r="Q30" s="1">
        <v>6313050</v>
      </c>
      <c r="R30" s="2" t="s">
        <v>122</v>
      </c>
    </row>
    <row r="31" spans="1:22" x14ac:dyDescent="0.25">
      <c r="A31" s="1" t="s">
        <v>48</v>
      </c>
      <c r="B31" s="2" t="s">
        <v>21</v>
      </c>
      <c r="C31" s="2" t="s">
        <v>22</v>
      </c>
      <c r="D31" s="1" t="s">
        <v>3</v>
      </c>
      <c r="E31" s="1" t="s">
        <v>148</v>
      </c>
      <c r="F31" s="1" t="s">
        <v>8</v>
      </c>
      <c r="G31" s="1" t="str">
        <f>IF(Tabela135[[#This Row],[Mineral]]=$U$4,$V$4,IF(Tabela135[[#This Row],[Mineral]]=$U$5,$V$5,IF(Tabela135[[#This Row],[Mineral]]=$U$6,$V$6,IF(Tabela135[[#This Row],[Mineral]]=$U$7,$V$7,$V$8))))</f>
        <v>Zrn</v>
      </c>
      <c r="H31" s="1">
        <v>2594</v>
      </c>
      <c r="I31" s="4">
        <v>10</v>
      </c>
      <c r="J31" s="5" t="s">
        <v>47</v>
      </c>
      <c r="K31" s="1" t="s">
        <v>149</v>
      </c>
      <c r="M31" s="5" t="s">
        <v>98</v>
      </c>
      <c r="N31" s="1">
        <v>56.909722222222221</v>
      </c>
      <c r="O31" s="1">
        <v>56.909722222222221</v>
      </c>
      <c r="P31" s="1">
        <v>428830</v>
      </c>
      <c r="Q31" s="1">
        <v>6307959</v>
      </c>
      <c r="R31" s="2" t="s">
        <v>122</v>
      </c>
    </row>
    <row r="32" spans="1:22" x14ac:dyDescent="0.25">
      <c r="A32" s="1" t="s">
        <v>48</v>
      </c>
      <c r="B32" s="2" t="s">
        <v>21</v>
      </c>
      <c r="C32" s="2" t="s">
        <v>22</v>
      </c>
      <c r="D32" s="1" t="s">
        <v>3</v>
      </c>
      <c r="E32" s="1" t="s">
        <v>148</v>
      </c>
      <c r="F32" s="1" t="s">
        <v>12</v>
      </c>
      <c r="G32" s="1" t="str">
        <f>IF(Tabela135[[#This Row],[Mineral]]=$U$4,$V$4,IF(Tabela135[[#This Row],[Mineral]]=$U$5,$V$5,IF(Tabela135[[#This Row],[Mineral]]=$U$6,$V$6,IF(Tabela135[[#This Row],[Mineral]]=$U$7,$V$7,$V$8))))</f>
        <v>Mnz</v>
      </c>
      <c r="H32" s="1">
        <v>1806</v>
      </c>
      <c r="I32" s="4">
        <v>2</v>
      </c>
      <c r="J32" s="5" t="s">
        <v>5</v>
      </c>
      <c r="K32" s="1" t="s">
        <v>149</v>
      </c>
      <c r="M32" s="5" t="s">
        <v>98</v>
      </c>
      <c r="N32" s="1">
        <v>56.909722222222221</v>
      </c>
      <c r="O32" s="1">
        <v>56.909722222222221</v>
      </c>
      <c r="P32" s="1">
        <v>428830</v>
      </c>
      <c r="Q32" s="1">
        <v>6307959</v>
      </c>
      <c r="R32" s="2" t="s">
        <v>122</v>
      </c>
      <c r="S32" s="2" t="s">
        <v>119</v>
      </c>
    </row>
    <row r="33" spans="1:21" x14ac:dyDescent="0.25">
      <c r="A33" s="1" t="s">
        <v>48</v>
      </c>
      <c r="B33" s="2" t="s">
        <v>21</v>
      </c>
      <c r="C33" s="2" t="s">
        <v>22</v>
      </c>
      <c r="D33" s="1" t="s">
        <v>3</v>
      </c>
      <c r="E33" s="1" t="s">
        <v>148</v>
      </c>
      <c r="F33" s="1" t="s">
        <v>12</v>
      </c>
      <c r="G33" s="1" t="str">
        <f>IF(Tabela135[[#This Row],[Mineral]]=$U$4,$V$4,IF(Tabela135[[#This Row],[Mineral]]=$U$5,$V$5,IF(Tabela135[[#This Row],[Mineral]]=$U$6,$V$6,IF(Tabela135[[#This Row],[Mineral]]=$U$7,$V$7,$V$8))))</f>
        <v>Mnz</v>
      </c>
      <c r="H33" s="1">
        <v>1795</v>
      </c>
      <c r="I33" s="4">
        <v>2</v>
      </c>
      <c r="J33" s="5" t="s">
        <v>5</v>
      </c>
      <c r="K33" s="1" t="s">
        <v>149</v>
      </c>
      <c r="M33" s="5" t="s">
        <v>98</v>
      </c>
      <c r="N33" s="1">
        <v>56.909722222222221</v>
      </c>
      <c r="O33" s="1">
        <v>56.909722222222221</v>
      </c>
      <c r="P33" s="1">
        <v>428830</v>
      </c>
      <c r="Q33" s="1">
        <v>6307959</v>
      </c>
      <c r="R33" s="2" t="s">
        <v>122</v>
      </c>
      <c r="S33" s="2" t="s">
        <v>119</v>
      </c>
    </row>
    <row r="34" spans="1:21" x14ac:dyDescent="0.25">
      <c r="A34" s="1" t="s">
        <v>48</v>
      </c>
      <c r="B34" s="2" t="s">
        <v>21</v>
      </c>
      <c r="C34" s="2" t="s">
        <v>22</v>
      </c>
      <c r="D34" s="1" t="s">
        <v>3</v>
      </c>
      <c r="E34" s="1" t="s">
        <v>148</v>
      </c>
      <c r="F34" s="1" t="s">
        <v>12</v>
      </c>
      <c r="G34" s="1" t="str">
        <f>IF(Tabela135[[#This Row],[Mineral]]=$U$4,$V$4,IF(Tabela135[[#This Row],[Mineral]]=$U$5,$V$5,IF(Tabela135[[#This Row],[Mineral]]=$U$6,$V$6,IF(Tabela135[[#This Row],[Mineral]]=$U$7,$V$7,$V$8))))</f>
        <v>Mnz</v>
      </c>
      <c r="H34" s="1">
        <v>1797</v>
      </c>
      <c r="I34" s="4">
        <v>2</v>
      </c>
      <c r="J34" s="5" t="s">
        <v>5</v>
      </c>
      <c r="K34" s="1" t="s">
        <v>149</v>
      </c>
      <c r="M34" s="5" t="s">
        <v>98</v>
      </c>
      <c r="N34" s="1">
        <v>56.909722222222221</v>
      </c>
      <c r="O34" s="1">
        <v>56.909722222222221</v>
      </c>
      <c r="P34" s="1">
        <v>428830</v>
      </c>
      <c r="Q34" s="1">
        <v>6307959</v>
      </c>
      <c r="R34" s="2" t="s">
        <v>122</v>
      </c>
      <c r="S34" s="2" t="s">
        <v>119</v>
      </c>
    </row>
    <row r="35" spans="1:21" x14ac:dyDescent="0.25">
      <c r="A35" s="1" t="s">
        <v>48</v>
      </c>
      <c r="B35" s="2" t="s">
        <v>21</v>
      </c>
      <c r="C35" s="2" t="s">
        <v>22</v>
      </c>
      <c r="D35" s="1" t="s">
        <v>3</v>
      </c>
      <c r="E35" s="1" t="s">
        <v>148</v>
      </c>
      <c r="F35" s="1" t="s">
        <v>12</v>
      </c>
      <c r="G35" s="1" t="str">
        <f>IF(Tabela135[[#This Row],[Mineral]]=$U$4,$V$4,IF(Tabela135[[#This Row],[Mineral]]=$U$5,$V$5,IF(Tabela135[[#This Row],[Mineral]]=$U$6,$V$6,IF(Tabela135[[#This Row],[Mineral]]=$U$7,$V$7,$V$8))))</f>
        <v>Mnz</v>
      </c>
      <c r="H35" s="1">
        <v>1791</v>
      </c>
      <c r="I35" s="4">
        <v>2</v>
      </c>
      <c r="J35" s="5" t="s">
        <v>5</v>
      </c>
      <c r="K35" s="1" t="s">
        <v>149</v>
      </c>
      <c r="M35" s="5" t="s">
        <v>98</v>
      </c>
      <c r="N35" s="1">
        <v>56.909722222222221</v>
      </c>
      <c r="O35" s="1">
        <v>56.909722222222221</v>
      </c>
      <c r="P35" s="1">
        <v>428830</v>
      </c>
      <c r="Q35" s="1">
        <v>6307959</v>
      </c>
      <c r="R35" s="2" t="s">
        <v>122</v>
      </c>
      <c r="S35" s="2" t="s">
        <v>119</v>
      </c>
    </row>
    <row r="36" spans="1:21" x14ac:dyDescent="0.25">
      <c r="A36" s="1" t="s">
        <v>48</v>
      </c>
      <c r="B36" s="2" t="s">
        <v>23</v>
      </c>
      <c r="C36" s="2" t="s">
        <v>24</v>
      </c>
      <c r="D36" s="1" t="s">
        <v>3</v>
      </c>
      <c r="E36" s="1" t="s">
        <v>148</v>
      </c>
      <c r="F36" s="1" t="s">
        <v>4</v>
      </c>
      <c r="G36" s="1" t="str">
        <f>IF(Tabela135[[#This Row],[Mineral]]=$U$4,$V$4,IF(Tabela135[[#This Row],[Mineral]]=$U$5,$V$5,IF(Tabela135[[#This Row],[Mineral]]=$U$6,$V$6,IF(Tabela135[[#This Row],[Mineral]]=$U$7,$V$7,$V$8))))</f>
        <v>Ttn</v>
      </c>
      <c r="H36" s="1">
        <v>1803</v>
      </c>
      <c r="I36" s="4">
        <v>4</v>
      </c>
      <c r="J36" s="5" t="s">
        <v>5</v>
      </c>
      <c r="K36" s="1" t="s">
        <v>149</v>
      </c>
      <c r="M36" s="5" t="s">
        <v>98</v>
      </c>
      <c r="N36" s="1">
        <v>-106.15916666666668</v>
      </c>
      <c r="O36" s="1">
        <v>56.908055555555556</v>
      </c>
      <c r="P36" s="1">
        <v>429384</v>
      </c>
      <c r="Q36" s="1">
        <v>6307750</v>
      </c>
      <c r="R36" s="2" t="s">
        <v>122</v>
      </c>
    </row>
    <row r="37" spans="1:21" s="8" customFormat="1" x14ac:dyDescent="0.25">
      <c r="A37" s="8" t="s">
        <v>48</v>
      </c>
      <c r="B37" s="11" t="s">
        <v>27</v>
      </c>
      <c r="C37" s="11" t="s">
        <v>28</v>
      </c>
      <c r="D37" s="8" t="s">
        <v>3</v>
      </c>
      <c r="E37" s="8" t="s">
        <v>148</v>
      </c>
      <c r="F37" s="1" t="s">
        <v>4</v>
      </c>
      <c r="G37" s="8" t="str">
        <f>IF(Tabela135[[#This Row],[Mineral]]=$U$4,$V$4,IF(Tabela135[[#This Row],[Mineral]]=$U$5,$V$5,IF(Tabela135[[#This Row],[Mineral]]=$U$6,$V$6,IF(Tabela135[[#This Row],[Mineral]]=$U$7,$V$7,$V$8))))</f>
        <v>Ttn</v>
      </c>
      <c r="H37" s="8">
        <v>1788</v>
      </c>
      <c r="I37" s="12">
        <v>4</v>
      </c>
      <c r="J37" s="13" t="s">
        <v>5</v>
      </c>
      <c r="K37" s="8" t="s">
        <v>149</v>
      </c>
      <c r="M37" s="13" t="s">
        <v>98</v>
      </c>
      <c r="N37" s="8">
        <v>57.019722222222221</v>
      </c>
      <c r="O37" s="8">
        <v>57.019722222222221</v>
      </c>
      <c r="P37" s="8">
        <v>437354</v>
      </c>
      <c r="Q37" s="8">
        <v>6320071</v>
      </c>
      <c r="R37" s="11" t="s">
        <v>122</v>
      </c>
      <c r="S37" s="11"/>
      <c r="U37" s="21"/>
    </row>
    <row r="38" spans="1:21" s="8" customFormat="1" x14ac:dyDescent="0.25">
      <c r="A38" s="8" t="s">
        <v>48</v>
      </c>
      <c r="B38" s="11" t="s">
        <v>27</v>
      </c>
      <c r="C38" s="11" t="s">
        <v>28</v>
      </c>
      <c r="D38" s="8" t="s">
        <v>3</v>
      </c>
      <c r="E38" s="8" t="s">
        <v>148</v>
      </c>
      <c r="F38" s="1" t="s">
        <v>4</v>
      </c>
      <c r="G38" s="8" t="str">
        <f>IF(Tabela135[[#This Row],[Mineral]]=$U$4,$V$4,IF(Tabela135[[#This Row],[Mineral]]=$U$5,$V$5,IF(Tabela135[[#This Row],[Mineral]]=$U$6,$V$6,IF(Tabela135[[#This Row],[Mineral]]=$U$7,$V$7,$V$8))))</f>
        <v>Ttn</v>
      </c>
      <c r="H38" s="8">
        <v>1792</v>
      </c>
      <c r="I38" s="12">
        <v>4</v>
      </c>
      <c r="J38" s="13" t="s">
        <v>5</v>
      </c>
      <c r="K38" s="8" t="s">
        <v>149</v>
      </c>
      <c r="M38" s="13" t="s">
        <v>98</v>
      </c>
      <c r="N38" s="8">
        <v>57.019722222222221</v>
      </c>
      <c r="O38" s="8">
        <v>57.019722222222221</v>
      </c>
      <c r="P38" s="8">
        <v>437354</v>
      </c>
      <c r="Q38" s="8">
        <v>6320071</v>
      </c>
      <c r="R38" s="11" t="s">
        <v>122</v>
      </c>
      <c r="S38" s="11"/>
      <c r="U38" s="21"/>
    </row>
    <row r="39" spans="1:21" x14ac:dyDescent="0.25">
      <c r="A39" s="1" t="s">
        <v>48</v>
      </c>
      <c r="B39" s="2" t="s">
        <v>17</v>
      </c>
      <c r="C39" s="2" t="s">
        <v>18</v>
      </c>
      <c r="D39" s="1" t="s">
        <v>3</v>
      </c>
      <c r="E39" s="1" t="s">
        <v>148</v>
      </c>
      <c r="F39" s="1" t="s">
        <v>4</v>
      </c>
      <c r="G39" s="1" t="str">
        <f>IF(Tabela135[[#This Row],[Mineral]]=$U$4,$V$4,IF(Tabela135[[#This Row],[Mineral]]=$U$5,$V$5,IF(Tabela135[[#This Row],[Mineral]]=$U$6,$V$6,IF(Tabela135[[#This Row],[Mineral]]=$U$7,$V$7,$V$8))))</f>
        <v>Ttn</v>
      </c>
      <c r="H39" s="1">
        <v>1806</v>
      </c>
      <c r="I39" s="4">
        <v>3</v>
      </c>
      <c r="J39" s="5" t="s">
        <v>5</v>
      </c>
      <c r="K39" s="1" t="s">
        <v>149</v>
      </c>
      <c r="M39" s="5" t="s">
        <v>98</v>
      </c>
      <c r="N39" s="1">
        <v>56.928055555555552</v>
      </c>
      <c r="O39" s="1">
        <v>56.928055555555552</v>
      </c>
      <c r="P39" s="1">
        <v>431724</v>
      </c>
      <c r="Q39" s="1">
        <v>6309940</v>
      </c>
      <c r="R39" s="2" t="s">
        <v>122</v>
      </c>
    </row>
    <row r="40" spans="1:21" x14ac:dyDescent="0.25">
      <c r="A40" s="1" t="s">
        <v>48</v>
      </c>
      <c r="B40" s="2" t="s">
        <v>17</v>
      </c>
      <c r="C40" s="2" t="s">
        <v>18</v>
      </c>
      <c r="D40" s="1" t="s">
        <v>3</v>
      </c>
      <c r="E40" s="1" t="s">
        <v>148</v>
      </c>
      <c r="F40" s="1" t="s">
        <v>8</v>
      </c>
      <c r="G40" s="1" t="str">
        <f>IF(Tabela135[[#This Row],[Mineral]]=$U$4,$V$4,IF(Tabela135[[#This Row],[Mineral]]=$U$5,$V$5,IF(Tabela135[[#This Row],[Mineral]]=$U$6,$V$6,IF(Tabela135[[#This Row],[Mineral]]=$U$7,$V$7,$V$8))))</f>
        <v>Zrn</v>
      </c>
      <c r="H40" s="1">
        <v>2316</v>
      </c>
      <c r="I40" s="4" t="s">
        <v>19</v>
      </c>
      <c r="J40" s="5" t="s">
        <v>117</v>
      </c>
      <c r="K40" s="1" t="s">
        <v>149</v>
      </c>
      <c r="M40" s="5" t="s">
        <v>98</v>
      </c>
      <c r="N40" s="1">
        <v>56.928055555555552</v>
      </c>
      <c r="O40" s="1">
        <v>56.928055555555552</v>
      </c>
      <c r="P40" s="1">
        <v>431724</v>
      </c>
      <c r="Q40" s="1">
        <v>6309940</v>
      </c>
      <c r="R40" s="2" t="s">
        <v>122</v>
      </c>
    </row>
    <row r="41" spans="1:21" x14ac:dyDescent="0.25">
      <c r="A41" s="1" t="s">
        <v>90</v>
      </c>
      <c r="B41" s="2" t="s">
        <v>86</v>
      </c>
      <c r="C41" s="2" t="s">
        <v>7</v>
      </c>
      <c r="D41" s="1" t="s">
        <v>3</v>
      </c>
      <c r="E41" s="1" t="s">
        <v>148</v>
      </c>
      <c r="F41" s="1" t="s">
        <v>8</v>
      </c>
      <c r="G41" s="1" t="str">
        <f>IF(Tabela135[[#This Row],[Mineral]]=$U$4,$V$4,IF(Tabela135[[#This Row],[Mineral]]=$U$5,$V$5,IF(Tabela135[[#This Row],[Mineral]]=$U$6,$V$6,IF(Tabela135[[#This Row],[Mineral]]=$U$7,$V$7,$V$8))))</f>
        <v>Zrn</v>
      </c>
      <c r="H41" s="1">
        <v>1828</v>
      </c>
      <c r="I41" s="4">
        <v>3</v>
      </c>
      <c r="J41" s="5" t="s">
        <v>47</v>
      </c>
      <c r="K41" s="1" t="s">
        <v>149</v>
      </c>
      <c r="M41" s="5" t="s">
        <v>100</v>
      </c>
      <c r="N41" s="1">
        <v>-103.32972222222222</v>
      </c>
      <c r="O41" s="1">
        <v>58.273611111111109</v>
      </c>
      <c r="P41" s="1">
        <v>597963</v>
      </c>
      <c r="Q41" s="1">
        <v>6460386</v>
      </c>
      <c r="R41" s="2" t="s">
        <v>122</v>
      </c>
      <c r="S41" s="2" t="s">
        <v>130</v>
      </c>
    </row>
    <row r="42" spans="1:21" x14ac:dyDescent="0.25">
      <c r="A42" s="1" t="s">
        <v>90</v>
      </c>
      <c r="B42" s="2" t="s">
        <v>86</v>
      </c>
      <c r="C42" s="2" t="s">
        <v>7</v>
      </c>
      <c r="D42" s="1" t="s">
        <v>3</v>
      </c>
      <c r="E42" s="1" t="s">
        <v>148</v>
      </c>
      <c r="F42" s="1" t="s">
        <v>4</v>
      </c>
      <c r="G42" s="1" t="str">
        <f>IF(Tabela135[[#This Row],[Mineral]]=$U$4,$V$4,IF(Tabela135[[#This Row],[Mineral]]=$U$5,$V$5,IF(Tabela135[[#This Row],[Mineral]]=$U$6,$V$6,IF(Tabela135[[#This Row],[Mineral]]=$U$7,$V$7,$V$8))))</f>
        <v>Ttn</v>
      </c>
      <c r="H42" s="1">
        <v>1795</v>
      </c>
      <c r="I42" s="4" t="s">
        <v>156</v>
      </c>
      <c r="J42" s="5" t="s">
        <v>5</v>
      </c>
      <c r="K42" s="1" t="s">
        <v>149</v>
      </c>
      <c r="M42" s="5" t="s">
        <v>100</v>
      </c>
      <c r="N42" s="1">
        <v>-103.32972222222222</v>
      </c>
      <c r="O42" s="1">
        <v>58.273611111111109</v>
      </c>
      <c r="P42" s="1">
        <v>597963</v>
      </c>
      <c r="Q42" s="1">
        <v>6460386</v>
      </c>
      <c r="R42" s="2" t="s">
        <v>122</v>
      </c>
      <c r="S42" s="2" t="s">
        <v>130</v>
      </c>
    </row>
    <row r="43" spans="1:21" x14ac:dyDescent="0.25">
      <c r="A43" s="1" t="s">
        <v>90</v>
      </c>
      <c r="B43" s="2" t="s">
        <v>62</v>
      </c>
      <c r="C43" s="2" t="s">
        <v>38</v>
      </c>
      <c r="D43" s="1" t="s">
        <v>3</v>
      </c>
      <c r="E43" s="1" t="s">
        <v>148</v>
      </c>
      <c r="F43" s="1" t="s">
        <v>8</v>
      </c>
      <c r="G43" s="1" t="str">
        <f>IF(Tabela135[[#This Row],[Mineral]]=$U$4,$V$4,IF(Tabela135[[#This Row],[Mineral]]=$U$5,$V$5,IF(Tabela135[[#This Row],[Mineral]]=$U$6,$V$6,IF(Tabela135[[#This Row],[Mineral]]=$U$7,$V$7,$V$8))))</f>
        <v>Zrn</v>
      </c>
      <c r="H43" s="1">
        <v>2726</v>
      </c>
      <c r="I43" s="4">
        <v>5</v>
      </c>
      <c r="J43" s="5" t="s">
        <v>47</v>
      </c>
      <c r="K43" s="1" t="s">
        <v>149</v>
      </c>
      <c r="M43" s="5" t="s">
        <v>157</v>
      </c>
      <c r="N43" s="1">
        <v>-103.35249999999999</v>
      </c>
      <c r="O43" s="1">
        <v>58.419999999999995</v>
      </c>
      <c r="P43" s="1">
        <v>596240</v>
      </c>
      <c r="Q43" s="1">
        <v>6476663</v>
      </c>
      <c r="R43" s="2" t="s">
        <v>122</v>
      </c>
    </row>
    <row r="44" spans="1:21" x14ac:dyDescent="0.25">
      <c r="A44" s="1" t="s">
        <v>90</v>
      </c>
      <c r="B44" s="2" t="s">
        <v>63</v>
      </c>
      <c r="C44" s="2" t="s">
        <v>60</v>
      </c>
      <c r="D44" s="1" t="s">
        <v>3</v>
      </c>
      <c r="E44" s="1" t="s">
        <v>148</v>
      </c>
      <c r="F44" s="1" t="s">
        <v>8</v>
      </c>
      <c r="G44" s="1" t="str">
        <f>IF(Tabela135[[#This Row],[Mineral]]=$U$4,$V$4,IF(Tabela135[[#This Row],[Mineral]]=$U$5,$V$5,IF(Tabela135[[#This Row],[Mineral]]=$U$6,$V$6,IF(Tabela135[[#This Row],[Mineral]]=$U$7,$V$7,$V$8))))</f>
        <v>Zrn</v>
      </c>
      <c r="H44" s="1">
        <v>1840</v>
      </c>
      <c r="I44" s="4" t="s">
        <v>159</v>
      </c>
      <c r="J44" s="5" t="s">
        <v>47</v>
      </c>
      <c r="K44" s="1" t="s">
        <v>149</v>
      </c>
      <c r="M44" s="5" t="s">
        <v>99</v>
      </c>
      <c r="N44" s="1">
        <v>-103.33</v>
      </c>
      <c r="O44" s="1">
        <v>59.412777777777777</v>
      </c>
      <c r="P44" s="1">
        <v>597570</v>
      </c>
      <c r="Q44" s="1">
        <v>6475893</v>
      </c>
      <c r="R44" s="2" t="s">
        <v>122</v>
      </c>
    </row>
    <row r="45" spans="1:21" x14ac:dyDescent="0.25">
      <c r="A45" s="1" t="s">
        <v>90</v>
      </c>
      <c r="B45" s="2" t="s">
        <v>63</v>
      </c>
      <c r="C45" s="2" t="s">
        <v>60</v>
      </c>
      <c r="D45" s="1" t="s">
        <v>3</v>
      </c>
      <c r="E45" s="1" t="s">
        <v>148</v>
      </c>
      <c r="F45" s="1" t="s">
        <v>12</v>
      </c>
      <c r="G45" s="1" t="str">
        <f>IF(Tabela135[[#This Row],[Mineral]]=$U$4,$V$4,IF(Tabela135[[#This Row],[Mineral]]=$U$5,$V$5,IF(Tabela135[[#This Row],[Mineral]]=$U$6,$V$6,IF(Tabela135[[#This Row],[Mineral]]=$U$7,$V$7,$V$8))))</f>
        <v>Mnz</v>
      </c>
      <c r="H45" s="1">
        <v>1790</v>
      </c>
      <c r="I45" s="4">
        <v>1</v>
      </c>
      <c r="J45" s="5" t="s">
        <v>5</v>
      </c>
      <c r="K45" s="1" t="s">
        <v>149</v>
      </c>
      <c r="M45" s="5" t="s">
        <v>99</v>
      </c>
      <c r="N45" s="1">
        <v>-103.33</v>
      </c>
      <c r="O45" s="1">
        <v>59.412777777777777</v>
      </c>
      <c r="P45" s="1">
        <v>597570</v>
      </c>
      <c r="Q45" s="1">
        <v>6475893</v>
      </c>
      <c r="R45" s="2" t="s">
        <v>122</v>
      </c>
      <c r="S45" s="2" t="s">
        <v>131</v>
      </c>
    </row>
    <row r="46" spans="1:21" x14ac:dyDescent="0.25">
      <c r="A46" s="1" t="s">
        <v>90</v>
      </c>
      <c r="B46" s="2" t="s">
        <v>64</v>
      </c>
      <c r="C46" s="2" t="s">
        <v>28</v>
      </c>
      <c r="D46" s="1" t="s">
        <v>3</v>
      </c>
      <c r="E46" s="1" t="s">
        <v>148</v>
      </c>
      <c r="F46" s="1" t="s">
        <v>8</v>
      </c>
      <c r="G46" s="1" t="str">
        <f>IF(Tabela135[[#This Row],[Mineral]]=$U$4,$V$4,IF(Tabela135[[#This Row],[Mineral]]=$U$5,$V$5,IF(Tabela135[[#This Row],[Mineral]]=$U$6,$V$6,IF(Tabela135[[#This Row],[Mineral]]=$U$7,$V$7,$V$8))))</f>
        <v>Zrn</v>
      </c>
      <c r="H46" s="1">
        <v>1819</v>
      </c>
      <c r="I46" s="4">
        <v>6</v>
      </c>
      <c r="J46" s="5" t="s">
        <v>47</v>
      </c>
      <c r="K46" s="1" t="s">
        <v>149</v>
      </c>
      <c r="M46" s="5" t="s">
        <v>99</v>
      </c>
      <c r="N46" s="1">
        <v>58.412777777777777</v>
      </c>
      <c r="O46" s="1">
        <v>58.412777777777777</v>
      </c>
      <c r="P46" s="1">
        <v>597570</v>
      </c>
      <c r="Q46" s="1">
        <v>6475893</v>
      </c>
      <c r="R46" s="2" t="s">
        <v>122</v>
      </c>
      <c r="S46" s="2" t="s">
        <v>127</v>
      </c>
    </row>
    <row r="47" spans="1:21" x14ac:dyDescent="0.25">
      <c r="A47" s="1" t="s">
        <v>90</v>
      </c>
      <c r="B47" s="2" t="s">
        <v>87</v>
      </c>
      <c r="C47" s="2" t="s">
        <v>88</v>
      </c>
      <c r="D47" s="1" t="s">
        <v>3</v>
      </c>
      <c r="E47" s="1" t="s">
        <v>148</v>
      </c>
      <c r="F47" s="1" t="s">
        <v>8</v>
      </c>
      <c r="G47" s="1" t="str">
        <f>IF(Tabela135[[#This Row],[Mineral]]=$U$4,$V$4,IF(Tabela135[[#This Row],[Mineral]]=$U$5,$V$5,IF(Tabela135[[#This Row],[Mineral]]=$U$6,$V$6,IF(Tabela135[[#This Row],[Mineral]]=$U$7,$V$7,$V$8))))</f>
        <v>Zrn</v>
      </c>
      <c r="H47" s="1" t="s">
        <v>89</v>
      </c>
      <c r="I47" s="4" t="s">
        <v>158</v>
      </c>
      <c r="J47" s="5" t="s">
        <v>162</v>
      </c>
      <c r="K47" s="1" t="s">
        <v>149</v>
      </c>
      <c r="M47" s="5" t="s">
        <v>101</v>
      </c>
      <c r="N47" s="1" t="s">
        <v>278</v>
      </c>
      <c r="O47" s="1" t="s">
        <v>278</v>
      </c>
      <c r="R47" s="2" t="s">
        <v>122</v>
      </c>
    </row>
    <row r="48" spans="1:21" x14ac:dyDescent="0.25">
      <c r="A48" s="1" t="s">
        <v>90</v>
      </c>
      <c r="B48" s="2" t="s">
        <v>87</v>
      </c>
      <c r="C48" s="2" t="s">
        <v>88</v>
      </c>
      <c r="D48" s="1" t="s">
        <v>3</v>
      </c>
      <c r="E48" s="1" t="s">
        <v>148</v>
      </c>
      <c r="F48" s="1" t="s">
        <v>8</v>
      </c>
      <c r="G48" s="1" t="str">
        <f>IF(Tabela135[[#This Row],[Mineral]]=$U$4,$V$4,IF(Tabela135[[#This Row],[Mineral]]=$U$5,$V$5,IF(Tabela135[[#This Row],[Mineral]]=$U$6,$V$6,IF(Tabela135[[#This Row],[Mineral]]=$U$7,$V$7,$V$8))))</f>
        <v>Zrn</v>
      </c>
      <c r="H48" s="1">
        <v>1877</v>
      </c>
      <c r="I48" s="4" t="s">
        <v>160</v>
      </c>
      <c r="J48" s="5" t="s">
        <v>161</v>
      </c>
      <c r="K48" s="1" t="s">
        <v>149</v>
      </c>
      <c r="M48" s="5" t="s">
        <v>101</v>
      </c>
      <c r="N48" s="1" t="s">
        <v>278</v>
      </c>
      <c r="O48" s="1" t="s">
        <v>278</v>
      </c>
      <c r="R48" s="2" t="s">
        <v>122</v>
      </c>
    </row>
    <row r="49" spans="1:19" x14ac:dyDescent="0.25">
      <c r="A49" s="1" t="s">
        <v>90</v>
      </c>
      <c r="B49" s="2" t="s">
        <v>80</v>
      </c>
      <c r="C49" s="2" t="s">
        <v>81</v>
      </c>
      <c r="D49" s="1" t="s">
        <v>3</v>
      </c>
      <c r="E49" s="1" t="s">
        <v>148</v>
      </c>
      <c r="F49" s="1" t="s">
        <v>8</v>
      </c>
      <c r="G49" s="1" t="str">
        <f>IF(Tabela135[[#This Row],[Mineral]]=$U$4,$V$4,IF(Tabela135[[#This Row],[Mineral]]=$U$5,$V$5,IF(Tabela135[[#This Row],[Mineral]]=$U$6,$V$6,IF(Tabela135[[#This Row],[Mineral]]=$U$7,$V$7,$V$8))))</f>
        <v>Zrn</v>
      </c>
      <c r="H49" s="1">
        <v>1808</v>
      </c>
      <c r="I49" s="4">
        <v>4</v>
      </c>
      <c r="J49" s="5" t="s">
        <v>5</v>
      </c>
      <c r="K49" s="1" t="s">
        <v>149</v>
      </c>
      <c r="M49" s="5" t="s">
        <v>103</v>
      </c>
      <c r="N49" s="1">
        <v>-103.58527777777778</v>
      </c>
      <c r="O49" s="1">
        <v>58.147777777777776</v>
      </c>
      <c r="P49" s="1">
        <v>583268</v>
      </c>
      <c r="Q49" s="1">
        <v>6446044</v>
      </c>
      <c r="R49" s="2" t="s">
        <v>122</v>
      </c>
      <c r="S49" s="2" t="s">
        <v>127</v>
      </c>
    </row>
    <row r="50" spans="1:19" x14ac:dyDescent="0.25">
      <c r="A50" s="1" t="s">
        <v>90</v>
      </c>
      <c r="B50" s="2" t="s">
        <v>57</v>
      </c>
      <c r="C50" s="2" t="s">
        <v>58</v>
      </c>
      <c r="D50" s="1" t="s">
        <v>3</v>
      </c>
      <c r="E50" s="1" t="s">
        <v>148</v>
      </c>
      <c r="F50" s="1" t="s">
        <v>8</v>
      </c>
      <c r="G50" s="1" t="str">
        <f>IF(Tabela135[[#This Row],[Mineral]]=$U$4,$V$4,IF(Tabela135[[#This Row],[Mineral]]=$U$5,$V$5,IF(Tabela135[[#This Row],[Mineral]]=$U$6,$V$6,IF(Tabela135[[#This Row],[Mineral]]=$U$7,$V$7,$V$8))))</f>
        <v>Zrn</v>
      </c>
      <c r="H50" s="1">
        <v>1812</v>
      </c>
      <c r="I50" s="4">
        <v>3</v>
      </c>
      <c r="J50" s="5" t="s">
        <v>47</v>
      </c>
      <c r="K50" s="1" t="s">
        <v>149</v>
      </c>
      <c r="M50" s="5" t="s">
        <v>102</v>
      </c>
      <c r="N50" s="1">
        <v>58.304166666666667</v>
      </c>
      <c r="O50" s="1">
        <v>58.304166666666667</v>
      </c>
      <c r="P50" s="1">
        <v>585691</v>
      </c>
      <c r="Q50" s="1">
        <v>6463495</v>
      </c>
      <c r="R50" s="2" t="s">
        <v>122</v>
      </c>
      <c r="S50" s="2" t="s">
        <v>130</v>
      </c>
    </row>
    <row r="51" spans="1:19" x14ac:dyDescent="0.25">
      <c r="A51" s="1" t="s">
        <v>90</v>
      </c>
      <c r="B51" s="2" t="s">
        <v>82</v>
      </c>
      <c r="C51" s="2" t="s">
        <v>43</v>
      </c>
      <c r="D51" s="1" t="s">
        <v>3</v>
      </c>
      <c r="E51" s="1" t="s">
        <v>148</v>
      </c>
      <c r="F51" s="1" t="s">
        <v>8</v>
      </c>
      <c r="G51" s="1" t="str">
        <f>IF(Tabela135[[#This Row],[Mineral]]=$U$4,$V$4,IF(Tabela135[[#This Row],[Mineral]]=$U$5,$V$5,IF(Tabela135[[#This Row],[Mineral]]=$U$6,$V$6,IF(Tabela135[[#This Row],[Mineral]]=$U$7,$V$7,$V$8))))</f>
        <v>Zrn</v>
      </c>
      <c r="H51" s="1">
        <v>2626</v>
      </c>
      <c r="I51" s="4" t="s">
        <v>163</v>
      </c>
      <c r="J51" s="5" t="s">
        <v>162</v>
      </c>
      <c r="K51" s="1" t="s">
        <v>149</v>
      </c>
      <c r="M51" s="5" t="s">
        <v>103</v>
      </c>
      <c r="N51" s="1">
        <v>-103.60527777777777</v>
      </c>
      <c r="O51" s="1">
        <v>58.151111111111106</v>
      </c>
      <c r="P51" s="1">
        <v>582082</v>
      </c>
      <c r="Q51" s="1">
        <v>6446396</v>
      </c>
      <c r="R51" s="2" t="s">
        <v>122</v>
      </c>
    </row>
    <row r="52" spans="1:19" x14ac:dyDescent="0.25">
      <c r="A52" s="1" t="s">
        <v>90</v>
      </c>
      <c r="B52" s="2" t="s">
        <v>82</v>
      </c>
      <c r="C52" s="2" t="s">
        <v>43</v>
      </c>
      <c r="D52" s="1" t="s">
        <v>3</v>
      </c>
      <c r="E52" s="1" t="s">
        <v>148</v>
      </c>
      <c r="F52" s="1" t="s">
        <v>8</v>
      </c>
      <c r="G52" s="1" t="str">
        <f>IF(Tabela135[[#This Row],[Mineral]]=$U$4,$V$4,IF(Tabela135[[#This Row],[Mineral]]=$U$5,$V$5,IF(Tabela135[[#This Row],[Mineral]]=$U$6,$V$6,IF(Tabela135[[#This Row],[Mineral]]=$U$7,$V$7,$V$8))))</f>
        <v>Zrn</v>
      </c>
      <c r="H52" s="1">
        <v>1837</v>
      </c>
      <c r="I52" s="4" t="s">
        <v>164</v>
      </c>
      <c r="J52" s="5" t="s">
        <v>165</v>
      </c>
      <c r="K52" s="1" t="s">
        <v>149</v>
      </c>
      <c r="M52" s="5" t="s">
        <v>103</v>
      </c>
      <c r="N52" s="1">
        <v>-103.60527777777777</v>
      </c>
      <c r="O52" s="1">
        <v>58.151111111111106</v>
      </c>
      <c r="P52" s="1">
        <v>582082</v>
      </c>
      <c r="Q52" s="1">
        <v>6446396</v>
      </c>
      <c r="R52" s="2" t="s">
        <v>122</v>
      </c>
    </row>
    <row r="53" spans="1:19" x14ac:dyDescent="0.25">
      <c r="A53" s="1" t="s">
        <v>48</v>
      </c>
      <c r="B53" s="2" t="s">
        <v>34</v>
      </c>
      <c r="C53" s="2" t="s">
        <v>35</v>
      </c>
      <c r="D53" s="1" t="s">
        <v>3</v>
      </c>
      <c r="E53" s="1" t="s">
        <v>148</v>
      </c>
      <c r="F53" s="1" t="s">
        <v>8</v>
      </c>
      <c r="G53" s="1" t="str">
        <f>IF(Tabela135[[#This Row],[Mineral]]=$U$4,$V$4,IF(Tabela135[[#This Row],[Mineral]]=$U$5,$V$5,IF(Tabela135[[#This Row],[Mineral]]=$U$6,$V$6,IF(Tabela135[[#This Row],[Mineral]]=$U$7,$V$7,$V$8))))</f>
        <v>Zrn</v>
      </c>
      <c r="H53" s="1">
        <v>1818</v>
      </c>
      <c r="I53" s="4">
        <v>1</v>
      </c>
      <c r="J53" s="5" t="s">
        <v>47</v>
      </c>
      <c r="K53" s="1" t="s">
        <v>104</v>
      </c>
      <c r="L53" s="1" t="s">
        <v>196</v>
      </c>
      <c r="M53" s="5" t="s">
        <v>112</v>
      </c>
      <c r="N53" s="1">
        <v>-104.85833333333333</v>
      </c>
      <c r="O53" s="1">
        <v>57.854444444444447</v>
      </c>
      <c r="P53" s="1">
        <v>508376</v>
      </c>
      <c r="Q53" s="1">
        <v>6412529</v>
      </c>
      <c r="R53" s="2" t="s">
        <v>124</v>
      </c>
      <c r="S53" s="2" t="s">
        <v>126</v>
      </c>
    </row>
    <row r="54" spans="1:19" x14ac:dyDescent="0.25">
      <c r="A54" s="1" t="s">
        <v>48</v>
      </c>
      <c r="B54" s="2" t="s">
        <v>34</v>
      </c>
      <c r="C54" s="2" t="s">
        <v>35</v>
      </c>
      <c r="D54" s="1" t="s">
        <v>3</v>
      </c>
      <c r="E54" s="1" t="s">
        <v>148</v>
      </c>
      <c r="F54" s="1" t="s">
        <v>12</v>
      </c>
      <c r="G54" s="1" t="str">
        <f>IF(Tabela135[[#This Row],[Mineral]]=$U$4,$V$4,IF(Tabela135[[#This Row],[Mineral]]=$U$5,$V$5,IF(Tabela135[[#This Row],[Mineral]]=$U$6,$V$6,IF(Tabela135[[#This Row],[Mineral]]=$U$7,$V$7,$V$8))))</f>
        <v>Mnz</v>
      </c>
      <c r="H54" s="1">
        <v>1801</v>
      </c>
      <c r="I54" s="4">
        <v>1</v>
      </c>
      <c r="J54" s="5" t="s">
        <v>5</v>
      </c>
      <c r="K54" s="1" t="s">
        <v>104</v>
      </c>
      <c r="L54" s="1" t="s">
        <v>195</v>
      </c>
      <c r="M54" s="5" t="s">
        <v>112</v>
      </c>
      <c r="N54" s="1">
        <v>-104.85833333333333</v>
      </c>
      <c r="O54" s="1">
        <v>57.854444444444447</v>
      </c>
      <c r="P54" s="1">
        <v>508376</v>
      </c>
      <c r="Q54" s="1">
        <v>6412529</v>
      </c>
      <c r="R54" s="2" t="s">
        <v>124</v>
      </c>
      <c r="S54" s="2" t="s">
        <v>126</v>
      </c>
    </row>
    <row r="55" spans="1:19" x14ac:dyDescent="0.25">
      <c r="A55" s="1" t="s">
        <v>48</v>
      </c>
      <c r="B55" s="2" t="s">
        <v>36</v>
      </c>
      <c r="C55" s="2" t="s">
        <v>28</v>
      </c>
      <c r="D55" s="1" t="s">
        <v>3</v>
      </c>
      <c r="E55" s="1" t="s">
        <v>148</v>
      </c>
      <c r="F55" s="1" t="s">
        <v>8</v>
      </c>
      <c r="G55" s="1" t="str">
        <f>IF(Tabela135[[#This Row],[Mineral]]=$U$4,$V$4,IF(Tabela135[[#This Row],[Mineral]]=$U$5,$V$5,IF(Tabela135[[#This Row],[Mineral]]=$U$6,$V$6,IF(Tabela135[[#This Row],[Mineral]]=$U$7,$V$7,$V$8))))</f>
        <v>Zrn</v>
      </c>
      <c r="H55" s="1">
        <v>1811</v>
      </c>
      <c r="I55" s="4">
        <v>1</v>
      </c>
      <c r="J55" s="5" t="s">
        <v>47</v>
      </c>
      <c r="K55" s="1" t="s">
        <v>104</v>
      </c>
      <c r="L55" s="1" t="s">
        <v>197</v>
      </c>
      <c r="M55" s="5" t="s">
        <v>112</v>
      </c>
      <c r="N55" s="1">
        <v>57.841388888888893</v>
      </c>
      <c r="O55" s="1">
        <v>57.841388888888893</v>
      </c>
      <c r="P55" s="1">
        <v>505873</v>
      </c>
      <c r="Q55" s="1">
        <v>6411077</v>
      </c>
      <c r="R55" s="2" t="s">
        <v>124</v>
      </c>
    </row>
    <row r="56" spans="1:19" x14ac:dyDescent="0.25">
      <c r="A56" s="1" t="s">
        <v>48</v>
      </c>
      <c r="B56" s="2" t="s">
        <v>36</v>
      </c>
      <c r="C56" s="2" t="s">
        <v>28</v>
      </c>
      <c r="D56" s="1" t="s">
        <v>3</v>
      </c>
      <c r="E56" s="1" t="s">
        <v>148</v>
      </c>
      <c r="F56" s="1" t="s">
        <v>12</v>
      </c>
      <c r="G56" s="1" t="str">
        <f>IF(Tabela135[[#This Row],[Mineral]]=$U$4,$V$4,IF(Tabela135[[#This Row],[Mineral]]=$U$5,$V$5,IF(Tabela135[[#This Row],[Mineral]]=$U$6,$V$6,IF(Tabela135[[#This Row],[Mineral]]=$U$7,$V$7,$V$8))))</f>
        <v>Mnz</v>
      </c>
      <c r="H56" s="1">
        <v>1805</v>
      </c>
      <c r="I56" s="4">
        <v>5</v>
      </c>
      <c r="J56" s="5" t="s">
        <v>5</v>
      </c>
      <c r="K56" s="1" t="s">
        <v>104</v>
      </c>
      <c r="L56" s="1" t="s">
        <v>198</v>
      </c>
      <c r="M56" s="5" t="s">
        <v>112</v>
      </c>
      <c r="N56" s="1">
        <v>57.841388888888893</v>
      </c>
      <c r="O56" s="1">
        <v>57.841388888888893</v>
      </c>
      <c r="P56" s="1">
        <v>505873</v>
      </c>
      <c r="Q56" s="1">
        <v>6411077</v>
      </c>
      <c r="R56" s="2" t="s">
        <v>124</v>
      </c>
    </row>
    <row r="57" spans="1:19" x14ac:dyDescent="0.25">
      <c r="B57" t="s">
        <v>229</v>
      </c>
      <c r="C57" t="s">
        <v>55</v>
      </c>
      <c r="D57" s="1" t="s">
        <v>3</v>
      </c>
      <c r="E57" s="1" t="s">
        <v>135</v>
      </c>
      <c r="F57" s="1" t="s">
        <v>8</v>
      </c>
      <c r="G57" s="1" t="str">
        <f>IF(Tabela135[[#This Row],[Mineral]]=$U$4,$V$4,IF(Tabela135[[#This Row],[Mineral]]=$U$5,$V$5,IF(Tabela135[[#This Row],[Mineral]]=$U$6,$V$6,IF(Tabela135[[#This Row],[Mineral]]=$U$7,$V$7,$V$8))))</f>
        <v>Zrn</v>
      </c>
      <c r="H57" s="7">
        <v>2714</v>
      </c>
      <c r="I57" s="4">
        <v>12</v>
      </c>
      <c r="J57" s="5" t="s">
        <v>47</v>
      </c>
      <c r="K57" s="1" t="s">
        <v>104</v>
      </c>
      <c r="L57" s="1" t="s">
        <v>222</v>
      </c>
      <c r="M57" s="5" t="s">
        <v>110</v>
      </c>
      <c r="N57" t="s">
        <v>278</v>
      </c>
      <c r="O57" t="s">
        <v>278</v>
      </c>
      <c r="P57"/>
      <c r="Q57"/>
      <c r="R57" s="2" t="s">
        <v>141</v>
      </c>
    </row>
    <row r="58" spans="1:19" x14ac:dyDescent="0.25">
      <c r="B58" t="s">
        <v>229</v>
      </c>
      <c r="C58" t="s">
        <v>55</v>
      </c>
      <c r="D58" s="1" t="s">
        <v>3</v>
      </c>
      <c r="E58" s="1" t="s">
        <v>135</v>
      </c>
      <c r="F58" s="1" t="s">
        <v>12</v>
      </c>
      <c r="G58" s="1" t="str">
        <f>IF(Tabela135[[#This Row],[Mineral]]=$U$4,$V$4,IF(Tabela135[[#This Row],[Mineral]]=$U$5,$V$5,IF(Tabela135[[#This Row],[Mineral]]=$U$6,$V$6,IF(Tabela135[[#This Row],[Mineral]]=$U$7,$V$7,$V$8))))</f>
        <v>Mnz</v>
      </c>
      <c r="H58" s="7">
        <v>1805.5</v>
      </c>
      <c r="I58" s="4">
        <v>1.4</v>
      </c>
      <c r="J58" s="5" t="s">
        <v>238</v>
      </c>
      <c r="K58" s="1" t="s">
        <v>104</v>
      </c>
      <c r="L58" s="1" t="s">
        <v>222</v>
      </c>
      <c r="M58" s="5" t="s">
        <v>110</v>
      </c>
      <c r="N58" t="s">
        <v>278</v>
      </c>
      <c r="O58" t="s">
        <v>278</v>
      </c>
      <c r="P58"/>
      <c r="Q58"/>
      <c r="R58" s="2" t="s">
        <v>141</v>
      </c>
    </row>
    <row r="59" spans="1:19" x14ac:dyDescent="0.25">
      <c r="A59" s="1" t="s">
        <v>48</v>
      </c>
      <c r="B59" s="2" t="s">
        <v>31</v>
      </c>
      <c r="C59" s="2" t="s">
        <v>28</v>
      </c>
      <c r="D59" s="1" t="s">
        <v>3</v>
      </c>
      <c r="E59" s="1" t="s">
        <v>148</v>
      </c>
      <c r="F59" s="1" t="s">
        <v>8</v>
      </c>
      <c r="G59" s="1" t="str">
        <f>IF(Tabela135[[#This Row],[Mineral]]=$U$4,$V$4,IF(Tabela135[[#This Row],[Mineral]]=$U$5,$V$5,IF(Tabela135[[#This Row],[Mineral]]=$U$6,$V$6,IF(Tabela135[[#This Row],[Mineral]]=$U$7,$V$7,$V$8))))</f>
        <v>Zrn</v>
      </c>
      <c r="H59" s="1">
        <v>1822</v>
      </c>
      <c r="I59" s="4">
        <v>5</v>
      </c>
      <c r="J59" s="5" t="s">
        <v>47</v>
      </c>
      <c r="K59" s="1" t="s">
        <v>104</v>
      </c>
      <c r="L59" s="1" t="s">
        <v>202</v>
      </c>
      <c r="M59" s="5" t="s">
        <v>111</v>
      </c>
      <c r="N59" s="1">
        <v>57.941666666666663</v>
      </c>
      <c r="O59" s="1">
        <v>57.941666666666663</v>
      </c>
      <c r="P59" s="1">
        <v>512466</v>
      </c>
      <c r="Q59" s="1">
        <v>6422245</v>
      </c>
      <c r="R59" s="2" t="s">
        <v>124</v>
      </c>
      <c r="S59" s="2" t="s">
        <v>132</v>
      </c>
    </row>
    <row r="60" spans="1:19" x14ac:dyDescent="0.25">
      <c r="A60" s="1" t="s">
        <v>48</v>
      </c>
      <c r="B60" s="2" t="s">
        <v>31</v>
      </c>
      <c r="C60" s="2" t="s">
        <v>28</v>
      </c>
      <c r="D60" s="1" t="s">
        <v>3</v>
      </c>
      <c r="E60" s="1" t="s">
        <v>148</v>
      </c>
      <c r="F60" s="1" t="s">
        <v>8</v>
      </c>
      <c r="G60" s="1" t="str">
        <f>IF(Tabela135[[#This Row],[Mineral]]=$U$4,$V$4,IF(Tabela135[[#This Row],[Mineral]]=$U$5,$V$5,IF(Tabela135[[#This Row],[Mineral]]=$U$6,$V$6,IF(Tabela135[[#This Row],[Mineral]]=$U$7,$V$7,$V$8))))</f>
        <v>Zrn</v>
      </c>
      <c r="H60" s="1">
        <v>1182</v>
      </c>
      <c r="I60" s="4">
        <v>7</v>
      </c>
      <c r="J60" s="5" t="s">
        <v>32</v>
      </c>
      <c r="K60" s="1" t="s">
        <v>104</v>
      </c>
      <c r="L60" s="1" t="s">
        <v>199</v>
      </c>
      <c r="M60" s="5" t="s">
        <v>111</v>
      </c>
      <c r="N60" s="1">
        <v>57.941666666666663</v>
      </c>
      <c r="O60" s="1">
        <v>57.941666666666663</v>
      </c>
      <c r="P60" s="1">
        <v>512466</v>
      </c>
      <c r="Q60" s="1">
        <v>6422245</v>
      </c>
      <c r="R60" s="2" t="s">
        <v>124</v>
      </c>
      <c r="S60" s="2" t="s">
        <v>132</v>
      </c>
    </row>
    <row r="61" spans="1:19" x14ac:dyDescent="0.25">
      <c r="A61" s="1" t="s">
        <v>48</v>
      </c>
      <c r="B61" s="2" t="s">
        <v>31</v>
      </c>
      <c r="C61" s="2" t="s">
        <v>28</v>
      </c>
      <c r="D61" s="1" t="s">
        <v>3</v>
      </c>
      <c r="E61" s="1" t="s">
        <v>148</v>
      </c>
      <c r="F61" s="1" t="s">
        <v>12</v>
      </c>
      <c r="G61" s="1" t="str">
        <f>IF(Tabela135[[#This Row],[Mineral]]=$U$4,$V$4,IF(Tabela135[[#This Row],[Mineral]]=$U$5,$V$5,IF(Tabela135[[#This Row],[Mineral]]=$U$6,$V$6,IF(Tabela135[[#This Row],[Mineral]]=$U$7,$V$7,$V$8))))</f>
        <v>Mnz</v>
      </c>
      <c r="H61" s="1">
        <v>1795</v>
      </c>
      <c r="I61" s="4">
        <v>1</v>
      </c>
      <c r="J61" s="5" t="s">
        <v>5</v>
      </c>
      <c r="K61" s="1" t="s">
        <v>104</v>
      </c>
      <c r="L61" s="1" t="s">
        <v>201</v>
      </c>
      <c r="M61" s="5" t="s">
        <v>111</v>
      </c>
      <c r="N61" s="1">
        <v>57.941666666666663</v>
      </c>
      <c r="O61" s="1">
        <v>57.941666666666663</v>
      </c>
      <c r="P61" s="1">
        <v>512466</v>
      </c>
      <c r="Q61" s="1">
        <v>6422245</v>
      </c>
      <c r="R61" s="2" t="s">
        <v>124</v>
      </c>
      <c r="S61" s="2" t="s">
        <v>132</v>
      </c>
    </row>
    <row r="62" spans="1:19" x14ac:dyDescent="0.25">
      <c r="A62" s="1" t="s">
        <v>48</v>
      </c>
      <c r="B62" s="2" t="s">
        <v>31</v>
      </c>
      <c r="C62" s="2" t="s">
        <v>28</v>
      </c>
      <c r="D62" s="1" t="s">
        <v>3</v>
      </c>
      <c r="E62" s="1" t="s">
        <v>148</v>
      </c>
      <c r="F62" s="1" t="s">
        <v>12</v>
      </c>
      <c r="G62" s="1" t="str">
        <f>IF(Tabela135[[#This Row],[Mineral]]=$U$4,$V$4,IF(Tabela135[[#This Row],[Mineral]]=$U$5,$V$5,IF(Tabela135[[#This Row],[Mineral]]=$U$6,$V$6,IF(Tabela135[[#This Row],[Mineral]]=$U$7,$V$7,$V$8))))</f>
        <v>Mnz</v>
      </c>
      <c r="H62" s="1">
        <v>1806</v>
      </c>
      <c r="I62" s="4">
        <v>1</v>
      </c>
      <c r="J62" s="5" t="s">
        <v>5</v>
      </c>
      <c r="K62" s="1" t="s">
        <v>104</v>
      </c>
      <c r="L62" s="1" t="s">
        <v>200</v>
      </c>
      <c r="M62" s="5" t="s">
        <v>111</v>
      </c>
      <c r="N62" s="1">
        <v>57.941666666666663</v>
      </c>
      <c r="O62" s="1">
        <v>57.941666666666663</v>
      </c>
      <c r="P62" s="1">
        <v>512466</v>
      </c>
      <c r="Q62" s="1">
        <v>6422245</v>
      </c>
      <c r="R62" s="2" t="s">
        <v>124</v>
      </c>
      <c r="S62" s="2" t="s">
        <v>132</v>
      </c>
    </row>
    <row r="63" spans="1:19" x14ac:dyDescent="0.25">
      <c r="B63" t="s">
        <v>226</v>
      </c>
      <c r="C63" t="s">
        <v>140</v>
      </c>
      <c r="D63" s="1" t="s">
        <v>3</v>
      </c>
      <c r="E63" s="1" t="s">
        <v>135</v>
      </c>
      <c r="F63" s="1" t="s">
        <v>12</v>
      </c>
      <c r="G63" s="1" t="str">
        <f>IF(Tabela135[[#This Row],[Mineral]]=$U$4,$V$4,IF(Tabela135[[#This Row],[Mineral]]=$U$5,$V$5,IF(Tabela135[[#This Row],[Mineral]]=$U$6,$V$6,IF(Tabela135[[#This Row],[Mineral]]=$U$7,$V$7,$V$8))))</f>
        <v>Mnz</v>
      </c>
      <c r="H63" s="7">
        <v>1791.3</v>
      </c>
      <c r="I63" s="4" t="s">
        <v>178</v>
      </c>
      <c r="J63" s="5" t="s">
        <v>232</v>
      </c>
      <c r="K63" s="1" t="s">
        <v>104</v>
      </c>
      <c r="L63" s="1" t="s">
        <v>220</v>
      </c>
      <c r="M63" s="5" t="s">
        <v>139</v>
      </c>
      <c r="N63" t="s">
        <v>278</v>
      </c>
      <c r="O63" t="s">
        <v>278</v>
      </c>
      <c r="P63"/>
      <c r="Q63"/>
      <c r="R63" s="2" t="s">
        <v>137</v>
      </c>
    </row>
    <row r="64" spans="1:19" x14ac:dyDescent="0.25">
      <c r="B64" t="s">
        <v>225</v>
      </c>
      <c r="C64" t="s">
        <v>140</v>
      </c>
      <c r="D64" s="1" t="s">
        <v>3</v>
      </c>
      <c r="E64" s="1" t="s">
        <v>135</v>
      </c>
      <c r="F64" s="1" t="s">
        <v>8</v>
      </c>
      <c r="G64" s="1" t="str">
        <f>IF(Tabela135[[#This Row],[Mineral]]=$U$4,$V$4,IF(Tabela135[[#This Row],[Mineral]]=$U$5,$V$5,IF(Tabela135[[#This Row],[Mineral]]=$U$6,$V$6,IF(Tabela135[[#This Row],[Mineral]]=$U$7,$V$7,$V$8))))</f>
        <v>Zrn</v>
      </c>
      <c r="H64" s="7">
        <v>2731</v>
      </c>
      <c r="I64" s="4">
        <v>25</v>
      </c>
      <c r="J64" s="5" t="s">
        <v>138</v>
      </c>
      <c r="K64" s="1" t="s">
        <v>104</v>
      </c>
      <c r="L64" s="1" t="s">
        <v>220</v>
      </c>
      <c r="M64" s="5" t="s">
        <v>139</v>
      </c>
      <c r="N64" t="s">
        <v>278</v>
      </c>
      <c r="O64" t="s">
        <v>278</v>
      </c>
      <c r="P64"/>
      <c r="Q64"/>
      <c r="R64" s="2" t="s">
        <v>137</v>
      </c>
    </row>
    <row r="65" spans="1:19" x14ac:dyDescent="0.25">
      <c r="B65" t="s">
        <v>227</v>
      </c>
      <c r="C65" t="s">
        <v>136</v>
      </c>
      <c r="D65" s="1" t="s">
        <v>3</v>
      </c>
      <c r="E65" s="1" t="s">
        <v>135</v>
      </c>
      <c r="F65" s="1" t="s">
        <v>8</v>
      </c>
      <c r="G65" s="1" t="str">
        <f>IF(Tabela135[[#This Row],[Mineral]]=$U$4,$V$4,IF(Tabela135[[#This Row],[Mineral]]=$U$5,$V$5,IF(Tabela135[[#This Row],[Mineral]]=$U$6,$V$6,IF(Tabela135[[#This Row],[Mineral]]=$U$7,$V$7,$V$8))))</f>
        <v>Zrn</v>
      </c>
      <c r="H65" s="7">
        <v>1816</v>
      </c>
      <c r="I65" s="4">
        <v>7</v>
      </c>
      <c r="J65" s="5" t="s">
        <v>138</v>
      </c>
      <c r="K65" s="1" t="s">
        <v>104</v>
      </c>
      <c r="L65" s="1" t="s">
        <v>221</v>
      </c>
      <c r="M65" s="5" t="s">
        <v>139</v>
      </c>
      <c r="N65" t="s">
        <v>278</v>
      </c>
      <c r="O65" t="s">
        <v>278</v>
      </c>
      <c r="P65"/>
      <c r="Q65"/>
      <c r="R65" s="2" t="s">
        <v>137</v>
      </c>
    </row>
    <row r="66" spans="1:19" x14ac:dyDescent="0.25">
      <c r="B66" t="s">
        <v>228</v>
      </c>
      <c r="C66" t="s">
        <v>136</v>
      </c>
      <c r="D66" s="1" t="s">
        <v>3</v>
      </c>
      <c r="E66" s="1" t="s">
        <v>135</v>
      </c>
      <c r="F66" s="1" t="s">
        <v>12</v>
      </c>
      <c r="G66" s="1" t="str">
        <f>IF(Tabela135[[#This Row],[Mineral]]=$U$4,$V$4,IF(Tabela135[[#This Row],[Mineral]]=$U$5,$V$5,IF(Tabela135[[#This Row],[Mineral]]=$U$6,$V$6,IF(Tabela135[[#This Row],[Mineral]]=$U$7,$V$7,$V$8))))</f>
        <v>Mnz</v>
      </c>
      <c r="H66" s="7">
        <v>1792.4</v>
      </c>
      <c r="I66" s="4">
        <v>1.2</v>
      </c>
      <c r="J66" s="5" t="s">
        <v>233</v>
      </c>
      <c r="K66" s="1" t="s">
        <v>104</v>
      </c>
      <c r="L66" s="1" t="s">
        <v>221</v>
      </c>
      <c r="M66" s="5" t="s">
        <v>139</v>
      </c>
      <c r="N66" t="s">
        <v>278</v>
      </c>
      <c r="O66" t="s">
        <v>278</v>
      </c>
      <c r="P66"/>
      <c r="Q66"/>
      <c r="R66" s="2" t="s">
        <v>137</v>
      </c>
    </row>
    <row r="67" spans="1:19" x14ac:dyDescent="0.25">
      <c r="A67" s="1" t="s">
        <v>48</v>
      </c>
      <c r="B67" s="2" t="s">
        <v>33</v>
      </c>
      <c r="C67" s="2" t="s">
        <v>28</v>
      </c>
      <c r="D67" s="1" t="s">
        <v>3</v>
      </c>
      <c r="E67" s="1" t="s">
        <v>148</v>
      </c>
      <c r="F67" s="1" t="s">
        <v>8</v>
      </c>
      <c r="G67" s="1" t="str">
        <f>IF(Tabela135[[#This Row],[Mineral]]=$U$4,$V$4,IF(Tabela135[[#This Row],[Mineral]]=$U$5,$V$5,IF(Tabela135[[#This Row],[Mineral]]=$U$6,$V$6,IF(Tabela135[[#This Row],[Mineral]]=$U$7,$V$7,$V$8))))</f>
        <v>Zrn</v>
      </c>
      <c r="H67" s="1">
        <v>1819</v>
      </c>
      <c r="I67" s="4">
        <v>6</v>
      </c>
      <c r="J67" s="5" t="s">
        <v>47</v>
      </c>
      <c r="K67" s="1" t="s">
        <v>104</v>
      </c>
      <c r="L67" s="1" t="s">
        <v>204</v>
      </c>
      <c r="M67" s="5" t="s">
        <v>113</v>
      </c>
      <c r="N67" s="1">
        <v>57.870833333333337</v>
      </c>
      <c r="O67" s="1">
        <v>57.870833333333337</v>
      </c>
      <c r="P67" s="1">
        <v>489315</v>
      </c>
      <c r="Q67" s="1">
        <v>6414369</v>
      </c>
      <c r="R67" s="2" t="s">
        <v>281</v>
      </c>
      <c r="S67" s="2" t="s">
        <v>132</v>
      </c>
    </row>
    <row r="68" spans="1:19" x14ac:dyDescent="0.25">
      <c r="A68" s="1" t="s">
        <v>48</v>
      </c>
      <c r="B68" s="2" t="s">
        <v>33</v>
      </c>
      <c r="C68" s="2" t="s">
        <v>28</v>
      </c>
      <c r="D68" s="1" t="s">
        <v>3</v>
      </c>
      <c r="E68" s="1" t="s">
        <v>148</v>
      </c>
      <c r="F68" s="1" t="s">
        <v>8</v>
      </c>
      <c r="G68" s="1" t="str">
        <f>IF(Tabela135[[#This Row],[Mineral]]=$U$4,$V$4,IF(Tabela135[[#This Row],[Mineral]]=$U$5,$V$5,IF(Tabela135[[#This Row],[Mineral]]=$U$6,$V$6,IF(Tabela135[[#This Row],[Mineral]]=$U$7,$V$7,$V$8))))</f>
        <v>Zrn</v>
      </c>
      <c r="H68" s="1">
        <v>1224</v>
      </c>
      <c r="I68" s="4">
        <v>6</v>
      </c>
      <c r="J68" s="5" t="s">
        <v>32</v>
      </c>
      <c r="K68" s="1" t="s">
        <v>104</v>
      </c>
      <c r="L68" s="1" t="s">
        <v>203</v>
      </c>
      <c r="M68" s="5" t="s">
        <v>113</v>
      </c>
      <c r="N68" s="1">
        <v>57.870833333333337</v>
      </c>
      <c r="O68" s="1">
        <v>57.870833333333337</v>
      </c>
      <c r="P68" s="1">
        <v>489315</v>
      </c>
      <c r="Q68" s="1">
        <v>6414369</v>
      </c>
      <c r="R68" s="2" t="s">
        <v>124</v>
      </c>
      <c r="S68" s="2" t="s">
        <v>132</v>
      </c>
    </row>
    <row r="69" spans="1:19" x14ac:dyDescent="0.25">
      <c r="A69" s="1" t="s">
        <v>90</v>
      </c>
      <c r="B69" s="2" t="s">
        <v>59</v>
      </c>
      <c r="C69" s="2" t="s">
        <v>60</v>
      </c>
      <c r="D69" s="1" t="s">
        <v>3</v>
      </c>
      <c r="E69" s="1" t="s">
        <v>148</v>
      </c>
      <c r="F69" s="1" t="s">
        <v>8</v>
      </c>
      <c r="G69" s="1" t="str">
        <f>IF(Tabela135[[#This Row],[Mineral]]=$U$4,$V$4,IF(Tabela135[[#This Row],[Mineral]]=$U$5,$V$5,IF(Tabela135[[#This Row],[Mineral]]=$U$6,$V$6,IF(Tabela135[[#This Row],[Mineral]]=$U$7,$V$7,$V$8))))</f>
        <v>Zrn</v>
      </c>
      <c r="H69" s="1" t="s">
        <v>166</v>
      </c>
      <c r="J69" s="5" t="s">
        <v>167</v>
      </c>
      <c r="K69" s="1" t="s">
        <v>104</v>
      </c>
      <c r="M69" s="5" t="s">
        <v>106</v>
      </c>
      <c r="N69" s="1">
        <v>-103.59527777777777</v>
      </c>
      <c r="O69" s="1">
        <v>58.295555555555552</v>
      </c>
      <c r="P69" s="1">
        <v>582340</v>
      </c>
      <c r="Q69" s="1">
        <v>6462485</v>
      </c>
      <c r="R69" s="2" t="s">
        <v>122</v>
      </c>
    </row>
    <row r="70" spans="1:19" x14ac:dyDescent="0.25">
      <c r="A70" s="1" t="s">
        <v>90</v>
      </c>
      <c r="B70" s="2" t="s">
        <v>59</v>
      </c>
      <c r="C70" s="2" t="s">
        <v>60</v>
      </c>
      <c r="D70" s="1" t="s">
        <v>3</v>
      </c>
      <c r="E70" s="1" t="s">
        <v>148</v>
      </c>
      <c r="F70" s="1" t="s">
        <v>12</v>
      </c>
      <c r="G70" s="1" t="str">
        <f>IF(Tabela135[[#This Row],[Mineral]]=$U$4,$V$4,IF(Tabela135[[#This Row],[Mineral]]=$U$5,$V$5,IF(Tabela135[[#This Row],[Mineral]]=$U$6,$V$6,IF(Tabela135[[#This Row],[Mineral]]=$U$7,$V$7,$V$8))))</f>
        <v>Mnz</v>
      </c>
      <c r="H70" s="1">
        <v>1803</v>
      </c>
      <c r="I70" s="4">
        <v>4</v>
      </c>
      <c r="J70" s="5" t="s">
        <v>5</v>
      </c>
      <c r="K70" s="1" t="s">
        <v>104</v>
      </c>
      <c r="M70" s="5" t="s">
        <v>106</v>
      </c>
      <c r="N70" s="1">
        <v>-103.59527777777777</v>
      </c>
      <c r="O70" s="1">
        <v>58.295555555555552</v>
      </c>
      <c r="P70" s="1">
        <v>582340</v>
      </c>
      <c r="Q70" s="1">
        <v>6462485</v>
      </c>
      <c r="R70" s="2" t="s">
        <v>122</v>
      </c>
    </row>
    <row r="71" spans="1:19" x14ac:dyDescent="0.25">
      <c r="A71" s="1" t="s">
        <v>90</v>
      </c>
      <c r="B71" s="2" t="s">
        <v>61</v>
      </c>
      <c r="C71" s="2" t="s">
        <v>60</v>
      </c>
      <c r="D71" s="1" t="s">
        <v>3</v>
      </c>
      <c r="E71" s="1" t="s">
        <v>148</v>
      </c>
      <c r="F71" s="1" t="s">
        <v>12</v>
      </c>
      <c r="G71" s="1" t="str">
        <f>IF(Tabela135[[#This Row],[Mineral]]=$U$4,$V$4,IF(Tabela135[[#This Row],[Mineral]]=$U$5,$V$5,IF(Tabela135[[#This Row],[Mineral]]=$U$6,$V$6,IF(Tabela135[[#This Row],[Mineral]]=$U$7,$V$7,$V$8))))</f>
        <v>Mnz</v>
      </c>
      <c r="H71" s="1">
        <v>1813</v>
      </c>
      <c r="I71" s="4">
        <v>2</v>
      </c>
      <c r="J71" s="5" t="s">
        <v>5</v>
      </c>
      <c r="K71" s="1" t="s">
        <v>104</v>
      </c>
      <c r="M71" s="5" t="s">
        <v>106</v>
      </c>
      <c r="N71" s="1">
        <v>-103.59666666666666</v>
      </c>
      <c r="O71" s="1">
        <v>58.294444444444444</v>
      </c>
      <c r="P71" s="1">
        <v>582263</v>
      </c>
      <c r="Q71" s="1">
        <v>6462356</v>
      </c>
      <c r="R71" s="2" t="s">
        <v>122</v>
      </c>
    </row>
    <row r="72" spans="1:19" x14ac:dyDescent="0.25">
      <c r="B72" s="2" t="s">
        <v>290</v>
      </c>
      <c r="C72" s="2" t="s">
        <v>28</v>
      </c>
      <c r="D72" s="1" t="s">
        <v>3</v>
      </c>
      <c r="E72" s="1" t="s">
        <v>257</v>
      </c>
      <c r="F72" s="1" t="s">
        <v>241</v>
      </c>
      <c r="G72" s="1" t="str">
        <f>IF(Tabela135[[#This Row],[Mineral]]=$U$4,$V$4,IF(Tabela135[[#This Row],[Mineral]]=$U$5,$V$5,IF(Tabela135[[#This Row],[Mineral]]=$U$6,$V$6,IF(Tabela135[[#This Row],[Mineral]]=$U$7,$V$7,$V$8))))</f>
        <v>Urn</v>
      </c>
      <c r="H72" s="1">
        <v>1756</v>
      </c>
      <c r="I72" s="4" t="s">
        <v>268</v>
      </c>
      <c r="M72" s="5" t="s">
        <v>266</v>
      </c>
      <c r="N72" s="1" t="s">
        <v>278</v>
      </c>
      <c r="O72" s="1" t="s">
        <v>278</v>
      </c>
      <c r="R72" s="3" t="s">
        <v>256</v>
      </c>
    </row>
    <row r="73" spans="1:19" x14ac:dyDescent="0.25">
      <c r="B73" s="2" t="s">
        <v>291</v>
      </c>
      <c r="C73" s="2" t="s">
        <v>273</v>
      </c>
      <c r="D73" s="1" t="s">
        <v>3</v>
      </c>
      <c r="E73" s="1" t="s">
        <v>257</v>
      </c>
      <c r="F73" s="1" t="s">
        <v>241</v>
      </c>
      <c r="G73" s="1" t="str">
        <f>IF(Tabela135[[#This Row],[Mineral]]=$U$4,$V$4,IF(Tabela135[[#This Row],[Mineral]]=$U$5,$V$5,IF(Tabela135[[#This Row],[Mineral]]=$U$6,$V$6,IF(Tabela135[[#This Row],[Mineral]]=$U$7,$V$7,$V$8))))</f>
        <v>Urn</v>
      </c>
      <c r="H73" s="1">
        <v>1774</v>
      </c>
      <c r="I73" s="4" t="s">
        <v>261</v>
      </c>
      <c r="J73" s="5" t="s">
        <v>262</v>
      </c>
      <c r="M73" s="5" t="s">
        <v>258</v>
      </c>
      <c r="N73" s="1" t="s">
        <v>278</v>
      </c>
      <c r="O73" s="1" t="s">
        <v>278</v>
      </c>
      <c r="R73" s="3" t="s">
        <v>256</v>
      </c>
    </row>
    <row r="74" spans="1:19" x14ac:dyDescent="0.25">
      <c r="B74" s="2" t="s">
        <v>292</v>
      </c>
      <c r="C74" s="2" t="s">
        <v>273</v>
      </c>
      <c r="D74" s="1" t="s">
        <v>3</v>
      </c>
      <c r="E74" s="1" t="s">
        <v>257</v>
      </c>
      <c r="F74" s="1" t="s">
        <v>241</v>
      </c>
      <c r="G74" s="1" t="str">
        <f>IF(Tabela135[[#This Row],[Mineral]]=$U$4,$V$4,IF(Tabela135[[#This Row],[Mineral]]=$U$5,$V$5,IF(Tabela135[[#This Row],[Mineral]]=$U$6,$V$6,IF(Tabela135[[#This Row],[Mineral]]=$U$7,$V$7,$V$8))))</f>
        <v>Urn</v>
      </c>
      <c r="H74" s="1">
        <v>1805</v>
      </c>
      <c r="I74" s="4" t="s">
        <v>259</v>
      </c>
      <c r="J74" s="5" t="s">
        <v>260</v>
      </c>
      <c r="M74" s="5" t="s">
        <v>258</v>
      </c>
      <c r="N74" s="1" t="s">
        <v>278</v>
      </c>
      <c r="O74" s="1" t="s">
        <v>278</v>
      </c>
      <c r="R74" s="3" t="s">
        <v>256</v>
      </c>
    </row>
    <row r="75" spans="1:19" x14ac:dyDescent="0.25">
      <c r="B75" s="2" t="s">
        <v>293</v>
      </c>
      <c r="D75" s="1" t="s">
        <v>3</v>
      </c>
      <c r="E75" s="1" t="s">
        <v>242</v>
      </c>
      <c r="F75" s="1" t="s">
        <v>241</v>
      </c>
      <c r="G75" s="1" t="str">
        <f>IF(Tabela135[[#This Row],[Mineral]]=$U$4,$V$4,IF(Tabela135[[#This Row],[Mineral]]=$U$5,$V$5,IF(Tabela135[[#This Row],[Mineral]]=$U$6,$V$6,IF(Tabela135[[#This Row],[Mineral]]=$U$7,$V$7,$V$8))))</f>
        <v>Urn</v>
      </c>
      <c r="H75" s="1" t="s">
        <v>269</v>
      </c>
      <c r="M75" s="5" t="s">
        <v>272</v>
      </c>
      <c r="N75" s="1" t="s">
        <v>278</v>
      </c>
      <c r="O75" s="1" t="s">
        <v>278</v>
      </c>
      <c r="R75" s="3" t="s">
        <v>256</v>
      </c>
    </row>
    <row r="76" spans="1:19" x14ac:dyDescent="0.25">
      <c r="B76" s="2" t="s">
        <v>294</v>
      </c>
      <c r="D76" s="1" t="s">
        <v>3</v>
      </c>
      <c r="E76" s="1" t="s">
        <v>242</v>
      </c>
      <c r="F76" s="1" t="s">
        <v>241</v>
      </c>
      <c r="G76" s="1" t="str">
        <f>IF(Tabela135[[#This Row],[Mineral]]=$U$4,$V$4,IF(Tabela135[[#This Row],[Mineral]]=$U$5,$V$5,IF(Tabela135[[#This Row],[Mineral]]=$U$6,$V$6,IF(Tabela135[[#This Row],[Mineral]]=$U$7,$V$7,$V$8))))</f>
        <v>Urn</v>
      </c>
      <c r="H76" s="1" t="s">
        <v>270</v>
      </c>
      <c r="M76" s="5" t="s">
        <v>271</v>
      </c>
      <c r="N76" s="1" t="s">
        <v>278</v>
      </c>
      <c r="O76" s="1" t="s">
        <v>278</v>
      </c>
      <c r="R76" s="3" t="s">
        <v>256</v>
      </c>
    </row>
    <row r="77" spans="1:19" x14ac:dyDescent="0.25">
      <c r="B77" t="s">
        <v>223</v>
      </c>
      <c r="C77" t="s">
        <v>136</v>
      </c>
      <c r="D77" s="1" t="s">
        <v>3</v>
      </c>
      <c r="E77" s="1" t="s">
        <v>135</v>
      </c>
      <c r="F77" s="1" t="s">
        <v>12</v>
      </c>
      <c r="G77" s="1" t="str">
        <f>IF(Tabela135[[#This Row],[Mineral]]=$U$4,$V$4,IF(Tabela135[[#This Row],[Mineral]]=$U$5,$V$5,IF(Tabela135[[#This Row],[Mineral]]=$U$6,$V$6,IF(Tabela135[[#This Row],[Mineral]]=$U$7,$V$7,$V$8))))</f>
        <v>Mnz</v>
      </c>
      <c r="H77" s="7">
        <v>1814.6</v>
      </c>
      <c r="I77" s="4">
        <v>1.4</v>
      </c>
      <c r="J77" s="5" t="s">
        <v>138</v>
      </c>
      <c r="K77" s="1" t="s">
        <v>104</v>
      </c>
      <c r="L77" s="1" t="s">
        <v>230</v>
      </c>
      <c r="M77" s="5" t="s">
        <v>133</v>
      </c>
      <c r="N77" t="s">
        <v>278</v>
      </c>
      <c r="O77" t="s">
        <v>278</v>
      </c>
      <c r="P77"/>
      <c r="Q77"/>
      <c r="R77" s="2" t="s">
        <v>137</v>
      </c>
    </row>
    <row r="78" spans="1:19" x14ac:dyDescent="0.25">
      <c r="B78" t="s">
        <v>223</v>
      </c>
      <c r="C78" t="s">
        <v>136</v>
      </c>
      <c r="D78" s="1" t="s">
        <v>3</v>
      </c>
      <c r="E78" s="1" t="s">
        <v>135</v>
      </c>
      <c r="F78" s="1" t="s">
        <v>8</v>
      </c>
      <c r="G78" s="1" t="str">
        <f>IF(Tabela135[[#This Row],[Mineral]]=$U$4,$V$4,IF(Tabela135[[#This Row],[Mineral]]=$U$5,$V$5,IF(Tabela135[[#This Row],[Mineral]]=$U$6,$V$6,IF(Tabela135[[#This Row],[Mineral]]=$U$7,$V$7,$V$8))))</f>
        <v>Zrn</v>
      </c>
      <c r="H78" s="7">
        <v>1811.5</v>
      </c>
      <c r="I78" s="4">
        <v>5</v>
      </c>
      <c r="J78" s="5" t="s">
        <v>232</v>
      </c>
      <c r="K78" s="1" t="s">
        <v>104</v>
      </c>
      <c r="L78" s="1" t="s">
        <v>230</v>
      </c>
      <c r="M78" s="5" t="s">
        <v>133</v>
      </c>
      <c r="N78" t="s">
        <v>278</v>
      </c>
      <c r="O78" t="s">
        <v>278</v>
      </c>
      <c r="P78"/>
      <c r="Q78"/>
      <c r="R78" s="2" t="s">
        <v>137</v>
      </c>
    </row>
    <row r="79" spans="1:19" x14ac:dyDescent="0.25">
      <c r="B79" t="s">
        <v>418</v>
      </c>
      <c r="C79" t="s">
        <v>134</v>
      </c>
      <c r="D79" s="1" t="s">
        <v>3</v>
      </c>
      <c r="E79" s="1" t="s">
        <v>135</v>
      </c>
      <c r="F79" s="1" t="s">
        <v>8</v>
      </c>
      <c r="G79" s="1" t="str">
        <f>IF(Tabela135[[#This Row],[Mineral]]=$U$4,$V$4,IF(Tabela135[[#This Row],[Mineral]]=$U$5,$V$5,IF(Tabela135[[#This Row],[Mineral]]=$U$6,$V$6,IF(Tabela135[[#This Row],[Mineral]]=$U$7,$V$7,$V$8))))</f>
        <v>Zrn</v>
      </c>
      <c r="H79" s="7">
        <v>1819.4</v>
      </c>
      <c r="I79" s="4" t="s">
        <v>231</v>
      </c>
      <c r="J79" s="5" t="s">
        <v>138</v>
      </c>
      <c r="K79" s="1" t="s">
        <v>104</v>
      </c>
      <c r="L79" s="1" t="s">
        <v>219</v>
      </c>
      <c r="M79" s="5" t="s">
        <v>133</v>
      </c>
      <c r="N79" t="s">
        <v>278</v>
      </c>
      <c r="O79" t="s">
        <v>278</v>
      </c>
      <c r="P79"/>
      <c r="Q79"/>
      <c r="R79" s="2" t="s">
        <v>137</v>
      </c>
    </row>
    <row r="80" spans="1:19" x14ac:dyDescent="0.25">
      <c r="B80" t="s">
        <v>418</v>
      </c>
      <c r="C80" t="s">
        <v>134</v>
      </c>
      <c r="D80" s="1" t="s">
        <v>3</v>
      </c>
      <c r="E80" s="1" t="s">
        <v>135</v>
      </c>
      <c r="F80" s="1" t="s">
        <v>12</v>
      </c>
      <c r="G80" s="1" t="str">
        <f>IF(Tabela135[[#This Row],[Mineral]]=$U$4,$V$4,IF(Tabela135[[#This Row],[Mineral]]=$U$5,$V$5,IF(Tabela135[[#This Row],[Mineral]]=$U$6,$V$6,IF(Tabela135[[#This Row],[Mineral]]=$U$7,$V$7,$V$8))))</f>
        <v>Mnz</v>
      </c>
      <c r="H80" s="7">
        <v>1816</v>
      </c>
      <c r="I80" s="4">
        <v>1</v>
      </c>
      <c r="J80" s="5" t="s">
        <v>138</v>
      </c>
      <c r="K80" s="1" t="s">
        <v>104</v>
      </c>
      <c r="L80" s="1" t="s">
        <v>219</v>
      </c>
      <c r="M80" s="5" t="s">
        <v>133</v>
      </c>
      <c r="N80" t="s">
        <v>278</v>
      </c>
      <c r="O80" t="s">
        <v>278</v>
      </c>
      <c r="P80"/>
      <c r="Q80"/>
      <c r="R80" s="2" t="s">
        <v>137</v>
      </c>
    </row>
    <row r="81" spans="1:19" x14ac:dyDescent="0.25">
      <c r="A81" s="1" t="s">
        <v>48</v>
      </c>
      <c r="B81" s="2" t="s">
        <v>42</v>
      </c>
      <c r="C81" s="2" t="s">
        <v>43</v>
      </c>
      <c r="D81" s="1" t="s">
        <v>3</v>
      </c>
      <c r="E81" s="1" t="s">
        <v>148</v>
      </c>
      <c r="F81" s="1" t="s">
        <v>8</v>
      </c>
      <c r="G81" s="1" t="str">
        <f>IF(Tabela135[[#This Row],[Mineral]]=$U$4,$V$4,IF(Tabela135[[#This Row],[Mineral]]=$U$5,$V$5,IF(Tabela135[[#This Row],[Mineral]]=$U$6,$V$6,IF(Tabela135[[#This Row],[Mineral]]=$U$7,$V$7,$V$8))))</f>
        <v>Zrn</v>
      </c>
      <c r="H81" s="1">
        <v>2592</v>
      </c>
      <c r="I81" s="4" t="s">
        <v>216</v>
      </c>
      <c r="J81" s="5" t="s">
        <v>47</v>
      </c>
      <c r="K81" s="1" t="s">
        <v>104</v>
      </c>
      <c r="L81" s="1" t="s">
        <v>215</v>
      </c>
      <c r="M81" s="5" t="s">
        <v>133</v>
      </c>
      <c r="N81" s="1">
        <v>-104.9825</v>
      </c>
      <c r="O81" s="1">
        <v>57.483888888888892</v>
      </c>
      <c r="P81" s="1">
        <v>501020</v>
      </c>
      <c r="Q81" s="1">
        <v>6371271</v>
      </c>
      <c r="R81" s="2" t="s">
        <v>124</v>
      </c>
      <c r="S81" s="2" t="s">
        <v>126</v>
      </c>
    </row>
    <row r="82" spans="1:19" x14ac:dyDescent="0.25">
      <c r="A82" s="1" t="s">
        <v>48</v>
      </c>
      <c r="B82" s="2" t="s">
        <v>41</v>
      </c>
      <c r="C82" s="2" t="s">
        <v>38</v>
      </c>
      <c r="D82" s="1" t="s">
        <v>3</v>
      </c>
      <c r="E82" s="1" t="s">
        <v>148</v>
      </c>
      <c r="F82" s="1" t="s">
        <v>8</v>
      </c>
      <c r="G82" s="1" t="str">
        <f>IF(Tabela135[[#This Row],[Mineral]]=$U$4,$V$4,IF(Tabela135[[#This Row],[Mineral]]=$U$5,$V$5,IF(Tabela135[[#This Row],[Mineral]]=$U$6,$V$6,IF(Tabela135[[#This Row],[Mineral]]=$U$7,$V$7,$V$8))))</f>
        <v>Zrn</v>
      </c>
      <c r="H82" s="1">
        <v>2593</v>
      </c>
      <c r="I82" s="4">
        <v>5</v>
      </c>
      <c r="J82" s="5" t="s">
        <v>47</v>
      </c>
      <c r="K82" s="1" t="s">
        <v>104</v>
      </c>
      <c r="L82" s="1" t="s">
        <v>218</v>
      </c>
      <c r="M82" s="5" t="s">
        <v>145</v>
      </c>
      <c r="N82" s="1">
        <v>-105.05305555555556</v>
      </c>
      <c r="O82" s="1">
        <v>57.47</v>
      </c>
      <c r="P82" s="1">
        <v>496791</v>
      </c>
      <c r="Q82" s="1">
        <v>6369707</v>
      </c>
      <c r="R82" s="2" t="s">
        <v>124</v>
      </c>
    </row>
    <row r="83" spans="1:19" x14ac:dyDescent="0.25">
      <c r="A83" s="1" t="s">
        <v>48</v>
      </c>
      <c r="B83" s="2" t="s">
        <v>41</v>
      </c>
      <c r="C83" s="2" t="s">
        <v>38</v>
      </c>
      <c r="D83" s="1" t="s">
        <v>3</v>
      </c>
      <c r="E83" s="1" t="s">
        <v>148</v>
      </c>
      <c r="F83" s="1" t="s">
        <v>12</v>
      </c>
      <c r="G83" s="1" t="str">
        <f>IF(Tabela135[[#This Row],[Mineral]]=$U$4,$V$4,IF(Tabela135[[#This Row],[Mineral]]=$U$5,$V$5,IF(Tabela135[[#This Row],[Mineral]]=$U$6,$V$6,IF(Tabela135[[#This Row],[Mineral]]=$U$7,$V$7,$V$8))))</f>
        <v>Mnz</v>
      </c>
      <c r="H83" s="1">
        <v>1819</v>
      </c>
      <c r="I83" s="4">
        <v>2</v>
      </c>
      <c r="J83" s="5" t="s">
        <v>5</v>
      </c>
      <c r="K83" s="1" t="s">
        <v>104</v>
      </c>
      <c r="L83" s="1" t="s">
        <v>217</v>
      </c>
      <c r="M83" s="5" t="s">
        <v>145</v>
      </c>
      <c r="N83" s="1">
        <v>-105.05305555555556</v>
      </c>
      <c r="O83" s="1">
        <v>57.47</v>
      </c>
      <c r="P83" s="1">
        <v>496791</v>
      </c>
      <c r="Q83" s="1">
        <v>6369707</v>
      </c>
      <c r="R83" s="2" t="s">
        <v>124</v>
      </c>
    </row>
    <row r="84" spans="1:19" x14ac:dyDescent="0.25">
      <c r="B84" s="2" t="s">
        <v>283</v>
      </c>
      <c r="C84" s="2" t="s">
        <v>185</v>
      </c>
      <c r="D84" s="1" t="s">
        <v>3</v>
      </c>
      <c r="E84" s="1" t="s">
        <v>148</v>
      </c>
      <c r="F84" s="1" t="s">
        <v>8</v>
      </c>
      <c r="G84" s="1" t="str">
        <f>IF(Tabela135[[#This Row],[Mineral]]=$U$4,$V$4,IF(Tabela135[[#This Row],[Mineral]]=$U$5,$V$5,IF(Tabela135[[#This Row],[Mineral]]=$U$6,$V$6,IF(Tabela135[[#This Row],[Mineral]]=$U$7,$V$7,$V$8))))</f>
        <v>Zrn</v>
      </c>
      <c r="H84" s="1">
        <v>1816</v>
      </c>
      <c r="I84" s="4" t="s">
        <v>169</v>
      </c>
      <c r="N84" s="1" t="s">
        <v>278</v>
      </c>
      <c r="O84" s="1" t="s">
        <v>278</v>
      </c>
      <c r="R84" s="2" t="s">
        <v>277</v>
      </c>
    </row>
    <row r="85" spans="1:19" x14ac:dyDescent="0.25">
      <c r="B85" s="2" t="s">
        <v>284</v>
      </c>
      <c r="C85" t="s">
        <v>143</v>
      </c>
      <c r="D85" s="1" t="s">
        <v>3</v>
      </c>
      <c r="E85" s="1" t="s">
        <v>135</v>
      </c>
      <c r="F85" s="1" t="s">
        <v>8</v>
      </c>
      <c r="G85" s="1" t="str">
        <f>IF(Tabela135[[#This Row],[Mineral]]=$U$4,$V$4,IF(Tabela135[[#This Row],[Mineral]]=$U$5,$V$5,IF(Tabela135[[#This Row],[Mineral]]=$U$6,$V$6,IF(Tabela135[[#This Row],[Mineral]]=$U$7,$V$7,$V$8))))</f>
        <v>Zrn</v>
      </c>
      <c r="H85" s="7">
        <v>2612</v>
      </c>
      <c r="I85" s="4">
        <v>22</v>
      </c>
      <c r="J85" s="5" t="s">
        <v>234</v>
      </c>
      <c r="K85" s="1" t="s">
        <v>104</v>
      </c>
      <c r="M85" s="5" t="s">
        <v>142</v>
      </c>
      <c r="N85" t="s">
        <v>278</v>
      </c>
      <c r="O85" t="s">
        <v>278</v>
      </c>
      <c r="P85"/>
      <c r="Q85"/>
      <c r="R85" s="2" t="s">
        <v>137</v>
      </c>
    </row>
    <row r="86" spans="1:19" x14ac:dyDescent="0.25">
      <c r="B86" s="2" t="s">
        <v>284</v>
      </c>
      <c r="C86" t="s">
        <v>143</v>
      </c>
      <c r="D86" s="1" t="s">
        <v>3</v>
      </c>
      <c r="E86" s="1" t="s">
        <v>135</v>
      </c>
      <c r="F86" s="1" t="s">
        <v>12</v>
      </c>
      <c r="G86" s="1" t="str">
        <f>IF(Tabela135[[#This Row],[Mineral]]=$U$4,$V$4,IF(Tabela135[[#This Row],[Mineral]]=$U$5,$V$5,IF(Tabela135[[#This Row],[Mineral]]=$U$6,$V$6,IF(Tabela135[[#This Row],[Mineral]]=$U$7,$V$7,$V$8))))</f>
        <v>Mnz</v>
      </c>
      <c r="H86" s="7">
        <v>1803</v>
      </c>
      <c r="I86" s="4">
        <v>1</v>
      </c>
      <c r="J86" s="5" t="s">
        <v>235</v>
      </c>
      <c r="K86" s="1" t="s">
        <v>104</v>
      </c>
      <c r="M86" s="5" t="s">
        <v>142</v>
      </c>
      <c r="N86" t="s">
        <v>278</v>
      </c>
      <c r="O86" t="s">
        <v>278</v>
      </c>
      <c r="P86"/>
      <c r="Q86"/>
      <c r="R86" s="2" t="s">
        <v>137</v>
      </c>
    </row>
    <row r="87" spans="1:19" x14ac:dyDescent="0.25">
      <c r="B87" s="2" t="s">
        <v>285</v>
      </c>
      <c r="C87" s="2" t="s">
        <v>191</v>
      </c>
      <c r="D87" s="1" t="s">
        <v>3</v>
      </c>
      <c r="E87" s="1" t="s">
        <v>148</v>
      </c>
      <c r="F87" s="1" t="s">
        <v>8</v>
      </c>
      <c r="G87" s="1" t="str">
        <f>IF(Tabela135[[#This Row],[Mineral]]=$U$4,$V$4,IF(Tabela135[[#This Row],[Mineral]]=$U$5,$V$5,IF(Tabela135[[#This Row],[Mineral]]=$U$6,$V$6,IF(Tabela135[[#This Row],[Mineral]]=$U$7,$V$7,$V$8))))</f>
        <v>Zrn</v>
      </c>
      <c r="H87" s="1">
        <v>1814</v>
      </c>
      <c r="I87" s="4" t="s">
        <v>193</v>
      </c>
      <c r="M87" s="5" t="s">
        <v>192</v>
      </c>
      <c r="N87" s="1" t="s">
        <v>278</v>
      </c>
      <c r="O87" s="1" t="s">
        <v>278</v>
      </c>
      <c r="R87" s="2" t="s">
        <v>194</v>
      </c>
    </row>
    <row r="88" spans="1:19" x14ac:dyDescent="0.25">
      <c r="B88" s="2" t="s">
        <v>286</v>
      </c>
      <c r="C88" t="s">
        <v>144</v>
      </c>
      <c r="D88" s="1" t="s">
        <v>3</v>
      </c>
      <c r="E88" s="1" t="s">
        <v>135</v>
      </c>
      <c r="F88" s="1" t="s">
        <v>8</v>
      </c>
      <c r="G88" s="1" t="str">
        <f>IF(Tabela135[[#This Row],[Mineral]]=$U$4,$V$4,IF(Tabela135[[#This Row],[Mineral]]=$U$5,$V$5,IF(Tabela135[[#This Row],[Mineral]]=$U$6,$V$6,IF(Tabela135[[#This Row],[Mineral]]=$U$7,$V$7,$V$8))))</f>
        <v>Zrn</v>
      </c>
      <c r="H88" s="7">
        <v>2583</v>
      </c>
      <c r="I88" s="4">
        <v>14</v>
      </c>
      <c r="J88" s="5" t="s">
        <v>236</v>
      </c>
      <c r="K88" s="1" t="s">
        <v>104</v>
      </c>
      <c r="M88" s="5" t="s">
        <v>142</v>
      </c>
      <c r="N88" t="s">
        <v>278</v>
      </c>
      <c r="O88" t="s">
        <v>278</v>
      </c>
      <c r="P88"/>
      <c r="Q88"/>
      <c r="R88" s="2" t="s">
        <v>137</v>
      </c>
    </row>
    <row r="89" spans="1:19" x14ac:dyDescent="0.25">
      <c r="B89" s="2" t="s">
        <v>286</v>
      </c>
      <c r="C89" t="s">
        <v>144</v>
      </c>
      <c r="D89" s="1" t="s">
        <v>3</v>
      </c>
      <c r="E89" s="1" t="s">
        <v>135</v>
      </c>
      <c r="F89" s="1" t="s">
        <v>12</v>
      </c>
      <c r="G89" s="1" t="str">
        <f>IF(Tabela135[[#This Row],[Mineral]]=$U$4,$V$4,IF(Tabela135[[#This Row],[Mineral]]=$U$5,$V$5,IF(Tabela135[[#This Row],[Mineral]]=$U$6,$V$6,IF(Tabela135[[#This Row],[Mineral]]=$U$7,$V$7,$V$8))))</f>
        <v>Mnz</v>
      </c>
      <c r="H89" s="7">
        <v>1821.9</v>
      </c>
      <c r="I89" s="4">
        <v>2</v>
      </c>
      <c r="J89" s="5" t="s">
        <v>237</v>
      </c>
      <c r="K89" s="1" t="s">
        <v>104</v>
      </c>
      <c r="M89" s="5" t="s">
        <v>142</v>
      </c>
      <c r="N89" t="s">
        <v>278</v>
      </c>
      <c r="O89" t="s">
        <v>278</v>
      </c>
      <c r="P89"/>
      <c r="Q89"/>
      <c r="R89" s="2" t="s">
        <v>137</v>
      </c>
    </row>
    <row r="90" spans="1:19" x14ac:dyDescent="0.25">
      <c r="B90" s="2" t="s">
        <v>287</v>
      </c>
      <c r="C90" s="2" t="s">
        <v>28</v>
      </c>
      <c r="D90" s="1" t="s">
        <v>3</v>
      </c>
      <c r="E90" s="1" t="s">
        <v>251</v>
      </c>
      <c r="F90" s="1" t="s">
        <v>12</v>
      </c>
      <c r="G90" s="1" t="str">
        <f>IF(Tabela135[[#This Row],[Mineral]]=$U$4,$V$4,IF(Tabela135[[#This Row],[Mineral]]=$U$5,$V$5,IF(Tabela135[[#This Row],[Mineral]]=$U$6,$V$6,IF(Tabela135[[#This Row],[Mineral]]=$U$7,$V$7,$V$8))))</f>
        <v>Mnz</v>
      </c>
      <c r="H90" s="1">
        <v>1830</v>
      </c>
      <c r="I90" s="4" t="s">
        <v>179</v>
      </c>
      <c r="J90" s="5" t="s">
        <v>138</v>
      </c>
      <c r="K90" s="1" t="s">
        <v>149</v>
      </c>
      <c r="M90" s="5" t="s">
        <v>252</v>
      </c>
      <c r="N90" s="1" t="s">
        <v>278</v>
      </c>
      <c r="O90" s="1" t="s">
        <v>278</v>
      </c>
      <c r="R90" s="2" t="s">
        <v>250</v>
      </c>
    </row>
    <row r="91" spans="1:19" x14ac:dyDescent="0.25">
      <c r="B91" s="2" t="s">
        <v>287</v>
      </c>
      <c r="C91" s="2" t="s">
        <v>28</v>
      </c>
      <c r="D91" s="1" t="s">
        <v>3</v>
      </c>
      <c r="E91" s="1" t="s">
        <v>251</v>
      </c>
      <c r="F91" s="1" t="s">
        <v>8</v>
      </c>
      <c r="G91" s="1" t="str">
        <f>IF(Tabela135[[#This Row],[Mineral]]=$U$4,$V$4,IF(Tabela135[[#This Row],[Mineral]]=$U$5,$V$5,IF(Tabela135[[#This Row],[Mineral]]=$U$6,$V$6,IF(Tabela135[[#This Row],[Mineral]]=$U$7,$V$7,$V$8))))</f>
        <v>Zrn</v>
      </c>
      <c r="H91" s="1" t="s">
        <v>253</v>
      </c>
      <c r="J91" s="5" t="s">
        <v>255</v>
      </c>
      <c r="K91" s="1" t="s">
        <v>149</v>
      </c>
      <c r="M91" s="5" t="s">
        <v>252</v>
      </c>
      <c r="N91" s="1" t="s">
        <v>278</v>
      </c>
      <c r="O91" s="1" t="s">
        <v>278</v>
      </c>
      <c r="R91" s="2" t="s">
        <v>254</v>
      </c>
    </row>
    <row r="92" spans="1:19" x14ac:dyDescent="0.25">
      <c r="A92" s="1" t="s">
        <v>48</v>
      </c>
      <c r="B92" s="2" t="s">
        <v>44</v>
      </c>
      <c r="C92" s="2" t="s">
        <v>45</v>
      </c>
      <c r="D92" s="1" t="s">
        <v>3</v>
      </c>
      <c r="E92" s="1" t="s">
        <v>148</v>
      </c>
      <c r="F92" s="1" t="s">
        <v>8</v>
      </c>
      <c r="G92" s="1" t="str">
        <f>IF(Tabela135[[#This Row],[Mineral]]=$U$4,$V$4,IF(Tabela135[[#This Row],[Mineral]]=$U$5,$V$5,IF(Tabela135[[#This Row],[Mineral]]=$U$6,$V$6,IF(Tabela135[[#This Row],[Mineral]]=$U$7,$V$7,$V$8))))</f>
        <v>Zrn</v>
      </c>
      <c r="H92" s="1">
        <v>2786</v>
      </c>
      <c r="I92" s="4">
        <v>7</v>
      </c>
      <c r="J92" s="5" t="s">
        <v>47</v>
      </c>
      <c r="K92" s="1" t="s">
        <v>104</v>
      </c>
      <c r="L92" s="1" t="s">
        <v>207</v>
      </c>
      <c r="M92" s="5" t="s">
        <v>114</v>
      </c>
      <c r="N92" s="1">
        <v>-105.57694444444444</v>
      </c>
      <c r="O92" s="1">
        <v>57.220277777777781</v>
      </c>
      <c r="P92" s="1">
        <v>465124</v>
      </c>
      <c r="Q92" s="1">
        <v>6342069</v>
      </c>
      <c r="R92" s="2" t="s">
        <v>124</v>
      </c>
      <c r="S92" s="2" t="s">
        <v>125</v>
      </c>
    </row>
    <row r="93" spans="1:19" x14ac:dyDescent="0.25">
      <c r="A93" s="1" t="s">
        <v>48</v>
      </c>
      <c r="B93" s="2" t="s">
        <v>44</v>
      </c>
      <c r="C93" s="2" t="s">
        <v>45</v>
      </c>
      <c r="D93" s="1" t="s">
        <v>3</v>
      </c>
      <c r="E93" s="1" t="s">
        <v>148</v>
      </c>
      <c r="F93" s="1" t="s">
        <v>8</v>
      </c>
      <c r="G93" s="1" t="str">
        <f>IF(Tabela135[[#This Row],[Mineral]]=$U$4,$V$4,IF(Tabela135[[#This Row],[Mineral]]=$U$5,$V$5,IF(Tabela135[[#This Row],[Mineral]]=$U$6,$V$6,IF(Tabela135[[#This Row],[Mineral]]=$U$7,$V$7,$V$8))))</f>
        <v>Zrn</v>
      </c>
      <c r="H93" s="1">
        <v>1813</v>
      </c>
      <c r="I93" s="4">
        <v>6</v>
      </c>
      <c r="J93" s="5" t="s">
        <v>5</v>
      </c>
      <c r="K93" s="1" t="s">
        <v>104</v>
      </c>
      <c r="L93" s="1" t="s">
        <v>205</v>
      </c>
      <c r="M93" s="5" t="s">
        <v>114</v>
      </c>
      <c r="N93" s="1">
        <v>-105.57694444444444</v>
      </c>
      <c r="O93" s="1">
        <v>57.220277777777781</v>
      </c>
      <c r="P93" s="1">
        <v>465124</v>
      </c>
      <c r="Q93" s="1">
        <v>6342069</v>
      </c>
      <c r="R93" s="2" t="s">
        <v>124</v>
      </c>
      <c r="S93" s="2" t="s">
        <v>125</v>
      </c>
    </row>
    <row r="94" spans="1:19" x14ac:dyDescent="0.25">
      <c r="A94" s="1" t="s">
        <v>48</v>
      </c>
      <c r="B94" s="2" t="s">
        <v>44</v>
      </c>
      <c r="C94" s="2" t="s">
        <v>45</v>
      </c>
      <c r="D94" s="1" t="s">
        <v>3</v>
      </c>
      <c r="E94" s="1" t="s">
        <v>148</v>
      </c>
      <c r="F94" s="1" t="s">
        <v>12</v>
      </c>
      <c r="G94" s="1" t="str">
        <f>IF(Tabela135[[#This Row],[Mineral]]=$U$4,$V$4,IF(Tabela135[[#This Row],[Mineral]]=$U$5,$V$5,IF(Tabela135[[#This Row],[Mineral]]=$U$6,$V$6,IF(Tabela135[[#This Row],[Mineral]]=$U$7,$V$7,$V$8))))</f>
        <v>Mnz</v>
      </c>
      <c r="H94" s="1">
        <v>1814</v>
      </c>
      <c r="I94" s="4">
        <v>1</v>
      </c>
      <c r="J94" s="5" t="s">
        <v>5</v>
      </c>
      <c r="K94" s="1" t="s">
        <v>104</v>
      </c>
      <c r="L94" s="1" t="s">
        <v>206</v>
      </c>
      <c r="M94" s="5" t="s">
        <v>114</v>
      </c>
      <c r="N94" s="1">
        <v>-105.57694444444444</v>
      </c>
      <c r="O94" s="1">
        <v>57.220277777777781</v>
      </c>
      <c r="P94" s="1">
        <v>465124</v>
      </c>
      <c r="Q94" s="1">
        <v>6342069</v>
      </c>
      <c r="R94" s="2" t="s">
        <v>124</v>
      </c>
      <c r="S94" s="2" t="s">
        <v>125</v>
      </c>
    </row>
    <row r="95" spans="1:19" x14ac:dyDescent="0.25">
      <c r="A95" s="1" t="s">
        <v>48</v>
      </c>
      <c r="B95" s="2" t="s">
        <v>46</v>
      </c>
      <c r="C95" s="2" t="s">
        <v>28</v>
      </c>
      <c r="D95" s="1" t="s">
        <v>3</v>
      </c>
      <c r="E95" s="1" t="s">
        <v>148</v>
      </c>
      <c r="F95" s="1" t="s">
        <v>12</v>
      </c>
      <c r="G95" s="1" t="str">
        <f>IF(Tabela135[[#This Row],[Mineral]]=$U$4,$V$4,IF(Tabela135[[#This Row],[Mineral]]=$U$5,$V$5,IF(Tabela135[[#This Row],[Mineral]]=$U$6,$V$6,IF(Tabela135[[#This Row],[Mineral]]=$U$7,$V$7,$V$8))))</f>
        <v>Mnz</v>
      </c>
      <c r="H95" s="1">
        <v>1812</v>
      </c>
      <c r="I95" s="4">
        <v>2</v>
      </c>
      <c r="J95" s="5" t="s">
        <v>47</v>
      </c>
      <c r="K95" s="1" t="s">
        <v>104</v>
      </c>
      <c r="L95" s="1" t="s">
        <v>208</v>
      </c>
      <c r="M95" s="5" t="s">
        <v>114</v>
      </c>
      <c r="N95" s="1">
        <v>57.206944444444446</v>
      </c>
      <c r="O95" s="1">
        <v>57.206944444444446</v>
      </c>
      <c r="P95" s="1">
        <v>465145</v>
      </c>
      <c r="Q95" s="1">
        <v>6340577</v>
      </c>
      <c r="R95" s="2" t="s">
        <v>124</v>
      </c>
      <c r="S95" s="2" t="s">
        <v>125</v>
      </c>
    </row>
    <row r="96" spans="1:19" x14ac:dyDescent="0.25">
      <c r="A96" s="1" t="s">
        <v>90</v>
      </c>
      <c r="B96" s="2" t="s">
        <v>56</v>
      </c>
      <c r="C96" s="2" t="s">
        <v>55</v>
      </c>
      <c r="D96" s="1" t="s">
        <v>3</v>
      </c>
      <c r="E96" s="1" t="s">
        <v>148</v>
      </c>
      <c r="F96" s="1" t="s">
        <v>8</v>
      </c>
      <c r="G96" s="1" t="str">
        <f>IF(Tabela135[[#This Row],[Mineral]]=$U$4,$V$4,IF(Tabela135[[#This Row],[Mineral]]=$U$5,$V$5,IF(Tabela135[[#This Row],[Mineral]]=$U$6,$V$6,IF(Tabela135[[#This Row],[Mineral]]=$U$7,$V$7,$V$8))))</f>
        <v>Zrn</v>
      </c>
      <c r="H96" s="1">
        <v>2717</v>
      </c>
      <c r="I96" s="4" t="s">
        <v>173</v>
      </c>
      <c r="J96" s="5" t="s">
        <v>47</v>
      </c>
      <c r="K96" s="1" t="s">
        <v>104</v>
      </c>
      <c r="M96" s="5" t="s">
        <v>176</v>
      </c>
      <c r="N96" s="1">
        <v>58.256944444444443</v>
      </c>
      <c r="O96" s="1">
        <v>58.256944444444443</v>
      </c>
      <c r="P96" s="1">
        <v>570290</v>
      </c>
      <c r="Q96" s="1">
        <v>6457950</v>
      </c>
      <c r="R96" s="2" t="s">
        <v>122</v>
      </c>
    </row>
    <row r="97" spans="1:19" x14ac:dyDescent="0.25">
      <c r="A97" s="1" t="s">
        <v>90</v>
      </c>
      <c r="B97" s="2" t="s">
        <v>56</v>
      </c>
      <c r="C97" s="2" t="s">
        <v>55</v>
      </c>
      <c r="D97" s="1" t="s">
        <v>3</v>
      </c>
      <c r="E97" s="1" t="s">
        <v>148</v>
      </c>
      <c r="F97" s="1" t="s">
        <v>12</v>
      </c>
      <c r="G97" s="1" t="str">
        <f>IF(Tabela135[[#This Row],[Mineral]]=$U$4,$V$4,IF(Tabela135[[#This Row],[Mineral]]=$U$5,$V$5,IF(Tabela135[[#This Row],[Mineral]]=$U$6,$V$6,IF(Tabela135[[#This Row],[Mineral]]=$U$7,$V$7,$V$8))))</f>
        <v>Mnz</v>
      </c>
      <c r="H97" s="1">
        <v>1802</v>
      </c>
      <c r="I97" s="4">
        <v>2</v>
      </c>
      <c r="J97" s="5" t="s">
        <v>5</v>
      </c>
      <c r="K97" s="1" t="s">
        <v>104</v>
      </c>
      <c r="M97" s="5" t="s">
        <v>176</v>
      </c>
      <c r="N97" s="1">
        <v>58.256944444444443</v>
      </c>
      <c r="O97" s="1">
        <v>58.256944444444443</v>
      </c>
      <c r="P97" s="1">
        <v>570290</v>
      </c>
      <c r="Q97" s="1">
        <v>6457950</v>
      </c>
      <c r="R97" s="2" t="s">
        <v>122</v>
      </c>
    </row>
    <row r="98" spans="1:19" x14ac:dyDescent="0.25">
      <c r="A98" s="1" t="s">
        <v>90</v>
      </c>
      <c r="B98" s="2" t="s">
        <v>56</v>
      </c>
      <c r="C98" s="2" t="s">
        <v>55</v>
      </c>
      <c r="D98" s="1" t="s">
        <v>3</v>
      </c>
      <c r="E98" s="1" t="s">
        <v>148</v>
      </c>
      <c r="F98" s="1" t="s">
        <v>8</v>
      </c>
      <c r="G98" s="1" t="str">
        <f>IF(Tabela135[[#This Row],[Mineral]]=$U$4,$V$4,IF(Tabela135[[#This Row],[Mineral]]=$U$5,$V$5,IF(Tabela135[[#This Row],[Mineral]]=$U$6,$V$6,IF(Tabela135[[#This Row],[Mineral]]=$U$7,$V$7,$V$8))))</f>
        <v>Zrn</v>
      </c>
      <c r="H98" s="1">
        <v>1857</v>
      </c>
      <c r="I98" s="4" t="s">
        <v>174</v>
      </c>
      <c r="J98" s="5" t="s">
        <v>175</v>
      </c>
      <c r="K98" s="1" t="s">
        <v>104</v>
      </c>
      <c r="M98" s="5" t="s">
        <v>176</v>
      </c>
      <c r="N98" s="1">
        <v>58.256944444444443</v>
      </c>
      <c r="O98" s="1">
        <v>58.256944444444443</v>
      </c>
      <c r="P98" s="1">
        <v>570290</v>
      </c>
      <c r="Q98" s="1">
        <v>6457950</v>
      </c>
      <c r="R98" s="2" t="s">
        <v>122</v>
      </c>
    </row>
    <row r="99" spans="1:19" x14ac:dyDescent="0.25">
      <c r="A99" s="1" t="s">
        <v>90</v>
      </c>
      <c r="B99" s="2" t="s">
        <v>51</v>
      </c>
      <c r="C99" s="2" t="s">
        <v>52</v>
      </c>
      <c r="D99" s="1" t="s">
        <v>3</v>
      </c>
      <c r="E99" s="1" t="s">
        <v>148</v>
      </c>
      <c r="F99" s="1" t="s">
        <v>8</v>
      </c>
      <c r="G99" s="1" t="str">
        <f>IF(Tabela135[[#This Row],[Mineral]]=$U$4,$V$4,IF(Tabela135[[#This Row],[Mineral]]=$U$5,$V$5,IF(Tabela135[[#This Row],[Mineral]]=$U$6,$V$6,IF(Tabela135[[#This Row],[Mineral]]=$U$7,$V$7,$V$8))))</f>
        <v>Zrn</v>
      </c>
      <c r="H99" s="1" t="s">
        <v>181</v>
      </c>
      <c r="I99" s="4" t="s">
        <v>15</v>
      </c>
      <c r="J99" s="5" t="s">
        <v>47</v>
      </c>
      <c r="K99" s="1" t="s">
        <v>104</v>
      </c>
      <c r="M99" s="5" t="s">
        <v>108</v>
      </c>
      <c r="N99" s="1">
        <v>-103.88611111111112</v>
      </c>
      <c r="O99" s="1">
        <v>58.346388888888889</v>
      </c>
      <c r="P99" s="1">
        <v>565196</v>
      </c>
      <c r="Q99" s="1">
        <v>6467804</v>
      </c>
      <c r="R99" s="2" t="s">
        <v>122</v>
      </c>
    </row>
    <row r="100" spans="1:19" x14ac:dyDescent="0.25">
      <c r="A100" s="1" t="s">
        <v>90</v>
      </c>
      <c r="B100" s="2" t="s">
        <v>49</v>
      </c>
      <c r="C100" s="2" t="s">
        <v>50</v>
      </c>
      <c r="D100" s="1" t="s">
        <v>3</v>
      </c>
      <c r="E100" s="1" t="s">
        <v>148</v>
      </c>
      <c r="F100" s="1" t="s">
        <v>8</v>
      </c>
      <c r="G100" s="1" t="str">
        <f>IF(Tabela135[[#This Row],[Mineral]]=$U$4,$V$4,IF(Tabela135[[#This Row],[Mineral]]=$U$5,$V$5,IF(Tabela135[[#This Row],[Mineral]]=$U$6,$V$6,IF(Tabela135[[#This Row],[Mineral]]=$U$7,$V$7,$V$8))))</f>
        <v>Zrn</v>
      </c>
      <c r="H100" s="1">
        <v>1814</v>
      </c>
      <c r="I100" s="4" t="s">
        <v>177</v>
      </c>
      <c r="J100" s="5" t="s">
        <v>5</v>
      </c>
      <c r="K100" s="1" t="s">
        <v>104</v>
      </c>
      <c r="M100" s="5" t="s">
        <v>108</v>
      </c>
      <c r="N100" s="1">
        <v>-103.91972222222223</v>
      </c>
      <c r="O100" s="1" t="s">
        <v>278</v>
      </c>
      <c r="P100" s="1">
        <v>563210</v>
      </c>
      <c r="Q100" s="1">
        <v>6468721</v>
      </c>
      <c r="R100" s="2" t="s">
        <v>122</v>
      </c>
    </row>
    <row r="101" spans="1:19" x14ac:dyDescent="0.25">
      <c r="A101" s="1" t="s">
        <v>90</v>
      </c>
      <c r="B101" s="2" t="s">
        <v>65</v>
      </c>
      <c r="C101" s="2" t="s">
        <v>28</v>
      </c>
      <c r="D101" s="1" t="s">
        <v>3</v>
      </c>
      <c r="E101" s="1" t="s">
        <v>148</v>
      </c>
      <c r="F101" s="1" t="s">
        <v>12</v>
      </c>
      <c r="G101" s="1" t="str">
        <f>IF(Tabela135[[#This Row],[Mineral]]=$U$4,$V$4,IF(Tabela135[[#This Row],[Mineral]]=$U$5,$V$5,IF(Tabela135[[#This Row],[Mineral]]=$U$6,$V$6,IF(Tabela135[[#This Row],[Mineral]]=$U$7,$V$7,$V$8))))</f>
        <v>Mnz</v>
      </c>
      <c r="H101" s="1">
        <v>1764</v>
      </c>
      <c r="I101" s="4">
        <v>2</v>
      </c>
      <c r="J101" s="5" t="s">
        <v>5</v>
      </c>
      <c r="K101" s="1" t="s">
        <v>104</v>
      </c>
      <c r="M101" s="5" t="s">
        <v>109</v>
      </c>
      <c r="N101" s="1" t="s">
        <v>278</v>
      </c>
      <c r="O101" s="1" t="s">
        <v>278</v>
      </c>
      <c r="P101" s="1">
        <v>561730</v>
      </c>
      <c r="Q101" s="1">
        <v>6454563</v>
      </c>
      <c r="R101" s="2" t="s">
        <v>122</v>
      </c>
      <c r="S101" s="2" t="s">
        <v>127</v>
      </c>
    </row>
    <row r="102" spans="1:19" x14ac:dyDescent="0.25">
      <c r="A102" s="1" t="s">
        <v>90</v>
      </c>
      <c r="B102" s="2" t="s">
        <v>65</v>
      </c>
      <c r="C102" s="2" t="s">
        <v>28</v>
      </c>
      <c r="D102" s="1" t="s">
        <v>3</v>
      </c>
      <c r="E102" s="1" t="s">
        <v>148</v>
      </c>
      <c r="F102" s="1" t="s">
        <v>12</v>
      </c>
      <c r="G102" s="1" t="str">
        <f>IF(Tabela135[[#This Row],[Mineral]]=$U$4,$V$4,IF(Tabela135[[#This Row],[Mineral]]=$U$5,$V$5,IF(Tabela135[[#This Row],[Mineral]]=$U$6,$V$6,IF(Tabela135[[#This Row],[Mineral]]=$U$7,$V$7,$V$8))))</f>
        <v>Mnz</v>
      </c>
      <c r="H102" s="1">
        <v>1776</v>
      </c>
      <c r="I102" s="4">
        <v>3</v>
      </c>
      <c r="J102" s="5" t="s">
        <v>5</v>
      </c>
      <c r="K102" s="1" t="s">
        <v>104</v>
      </c>
      <c r="M102" s="5" t="s">
        <v>109</v>
      </c>
      <c r="N102" s="1" t="s">
        <v>278</v>
      </c>
      <c r="O102" s="1" t="s">
        <v>278</v>
      </c>
      <c r="R102" s="2" t="s">
        <v>122</v>
      </c>
      <c r="S102" s="2" t="s">
        <v>127</v>
      </c>
    </row>
    <row r="103" spans="1:19" x14ac:dyDescent="0.25">
      <c r="A103" s="1" t="s">
        <v>90</v>
      </c>
      <c r="B103" s="2" t="s">
        <v>65</v>
      </c>
      <c r="C103" s="2" t="s">
        <v>28</v>
      </c>
      <c r="D103" s="1" t="s">
        <v>3</v>
      </c>
      <c r="E103" s="1" t="s">
        <v>148</v>
      </c>
      <c r="F103" s="1" t="s">
        <v>8</v>
      </c>
      <c r="G103" s="1" t="str">
        <f>IF(Tabela135[[#This Row],[Mineral]]=$U$4,$V$4,IF(Tabela135[[#This Row],[Mineral]]=$U$5,$V$5,IF(Tabela135[[#This Row],[Mineral]]=$U$6,$V$6,IF(Tabela135[[#This Row],[Mineral]]=$U$7,$V$7,$V$8))))</f>
        <v>Zrn</v>
      </c>
      <c r="H103" s="1">
        <v>1803</v>
      </c>
      <c r="I103" s="4">
        <v>3</v>
      </c>
      <c r="J103" s="5" t="s">
        <v>128</v>
      </c>
      <c r="K103" s="1" t="s">
        <v>104</v>
      </c>
      <c r="M103" s="5" t="s">
        <v>109</v>
      </c>
      <c r="N103" s="1" t="s">
        <v>278</v>
      </c>
      <c r="O103" s="1" t="s">
        <v>278</v>
      </c>
      <c r="R103" s="2" t="s">
        <v>122</v>
      </c>
      <c r="S103" s="2" t="s">
        <v>127</v>
      </c>
    </row>
    <row r="104" spans="1:19" x14ac:dyDescent="0.25">
      <c r="A104" s="1" t="s">
        <v>90</v>
      </c>
      <c r="B104" s="2" t="s">
        <v>53</v>
      </c>
      <c r="C104" s="2" t="s">
        <v>28</v>
      </c>
      <c r="D104" s="1" t="s">
        <v>3</v>
      </c>
      <c r="E104" s="1" t="s">
        <v>148</v>
      </c>
      <c r="F104" s="1" t="s">
        <v>12</v>
      </c>
      <c r="G104" s="1" t="str">
        <f>IF(Tabela135[[#This Row],[Mineral]]=$U$4,$V$4,IF(Tabela135[[#This Row],[Mineral]]=$U$5,$V$5,IF(Tabela135[[#This Row],[Mineral]]=$U$6,$V$6,IF(Tabela135[[#This Row],[Mineral]]=$U$7,$V$7,$V$8))))</f>
        <v>Mnz</v>
      </c>
      <c r="H104" s="1">
        <v>1810</v>
      </c>
      <c r="I104" s="4">
        <v>3</v>
      </c>
      <c r="J104" s="5" t="s">
        <v>47</v>
      </c>
      <c r="K104" s="1" t="s">
        <v>104</v>
      </c>
      <c r="M104" s="5" t="s">
        <v>107</v>
      </c>
      <c r="N104" s="1">
        <v>58.271666666666668</v>
      </c>
      <c r="O104" s="1">
        <v>58.271666666666668</v>
      </c>
      <c r="P104" s="1">
        <v>569498</v>
      </c>
      <c r="Q104" s="1">
        <v>6459575</v>
      </c>
      <c r="R104" s="2" t="s">
        <v>122</v>
      </c>
      <c r="S104" s="2" t="s">
        <v>127</v>
      </c>
    </row>
    <row r="105" spans="1:19" x14ac:dyDescent="0.25">
      <c r="A105" s="1" t="s">
        <v>90</v>
      </c>
      <c r="B105" s="2" t="s">
        <v>53</v>
      </c>
      <c r="C105" s="2" t="s">
        <v>28</v>
      </c>
      <c r="D105" s="1" t="s">
        <v>3</v>
      </c>
      <c r="E105" s="1" t="s">
        <v>148</v>
      </c>
      <c r="F105" s="1" t="s">
        <v>8</v>
      </c>
      <c r="G105" s="1" t="str">
        <f>IF(Tabela135[[#This Row],[Mineral]]=$U$4,$V$4,IF(Tabela135[[#This Row],[Mineral]]=$U$5,$V$5,IF(Tabela135[[#This Row],[Mineral]]=$U$6,$V$6,IF(Tabela135[[#This Row],[Mineral]]=$U$7,$V$7,$V$8))))</f>
        <v>Zrn</v>
      </c>
      <c r="H105" s="1">
        <v>1736</v>
      </c>
      <c r="I105" s="4" t="s">
        <v>169</v>
      </c>
      <c r="J105" s="5" t="s">
        <v>170</v>
      </c>
      <c r="K105" s="1" t="s">
        <v>104</v>
      </c>
      <c r="M105" s="5" t="s">
        <v>107</v>
      </c>
      <c r="N105" s="1">
        <v>58.271666666666668</v>
      </c>
      <c r="O105" s="1">
        <v>58.271666666666668</v>
      </c>
      <c r="P105" s="1">
        <v>569498</v>
      </c>
      <c r="Q105" s="1">
        <v>6459575</v>
      </c>
      <c r="R105" s="2" t="s">
        <v>122</v>
      </c>
      <c r="S105" s="2" t="s">
        <v>127</v>
      </c>
    </row>
    <row r="106" spans="1:19" x14ac:dyDescent="0.25">
      <c r="A106" s="1" t="s">
        <v>90</v>
      </c>
      <c r="B106" s="2" t="s">
        <v>53</v>
      </c>
      <c r="C106" s="2" t="s">
        <v>28</v>
      </c>
      <c r="D106" s="1" t="s">
        <v>3</v>
      </c>
      <c r="E106" s="1" t="s">
        <v>148</v>
      </c>
      <c r="F106" s="1" t="s">
        <v>8</v>
      </c>
      <c r="G106" s="1" t="str">
        <f>IF(Tabela135[[#This Row],[Mineral]]=$U$4,$V$4,IF(Tabela135[[#This Row],[Mineral]]=$U$5,$V$5,IF(Tabela135[[#This Row],[Mineral]]=$U$6,$V$6,IF(Tabela135[[#This Row],[Mineral]]=$U$7,$V$7,$V$8))))</f>
        <v>Zrn</v>
      </c>
      <c r="H106" s="1">
        <v>1773</v>
      </c>
      <c r="I106" s="4" t="s">
        <v>171</v>
      </c>
      <c r="J106" s="5" t="s">
        <v>170</v>
      </c>
      <c r="K106" s="1" t="s">
        <v>104</v>
      </c>
      <c r="M106" s="5" t="s">
        <v>107</v>
      </c>
      <c r="N106" s="1">
        <v>58.271666666666668</v>
      </c>
      <c r="O106" s="1">
        <v>58.271666666666668</v>
      </c>
      <c r="P106" s="1">
        <v>569498</v>
      </c>
      <c r="Q106" s="1">
        <v>6459575</v>
      </c>
      <c r="R106" s="2" t="s">
        <v>122</v>
      </c>
      <c r="S106" s="2" t="s">
        <v>127</v>
      </c>
    </row>
    <row r="107" spans="1:19" x14ac:dyDescent="0.25">
      <c r="A107" s="1" t="s">
        <v>90</v>
      </c>
      <c r="B107" s="2" t="s">
        <v>54</v>
      </c>
      <c r="C107" s="2" t="s">
        <v>55</v>
      </c>
      <c r="D107" s="1" t="s">
        <v>3</v>
      </c>
      <c r="E107" s="1" t="s">
        <v>148</v>
      </c>
      <c r="F107" s="1" t="s">
        <v>8</v>
      </c>
      <c r="G107" s="1" t="str">
        <f>IF(Tabela135[[#This Row],[Mineral]]=$U$4,$V$4,IF(Tabela135[[#This Row],[Mineral]]=$U$5,$V$5,IF(Tabela135[[#This Row],[Mineral]]=$U$6,$V$6,IF(Tabela135[[#This Row],[Mineral]]=$U$7,$V$7,$V$8))))</f>
        <v>Zrn</v>
      </c>
      <c r="H107" s="1">
        <v>2706</v>
      </c>
      <c r="I107" s="4">
        <v>5</v>
      </c>
      <c r="J107" s="5" t="s">
        <v>47</v>
      </c>
      <c r="K107" s="1" t="s">
        <v>104</v>
      </c>
      <c r="M107" s="5" t="s">
        <v>176</v>
      </c>
      <c r="N107" s="1">
        <v>58.262500000000003</v>
      </c>
      <c r="O107" s="1">
        <v>58.262500000000003</v>
      </c>
      <c r="P107" s="1">
        <v>570466</v>
      </c>
      <c r="Q107" s="1">
        <v>6458556</v>
      </c>
      <c r="R107" s="2" t="s">
        <v>122</v>
      </c>
      <c r="S107" s="2" t="s">
        <v>129</v>
      </c>
    </row>
    <row r="108" spans="1:19" x14ac:dyDescent="0.25">
      <c r="A108" s="1" t="s">
        <v>90</v>
      </c>
      <c r="B108" s="2" t="s">
        <v>54</v>
      </c>
      <c r="C108" s="2" t="s">
        <v>55</v>
      </c>
      <c r="D108" s="1" t="s">
        <v>3</v>
      </c>
      <c r="E108" s="1" t="s">
        <v>148</v>
      </c>
      <c r="F108" s="1" t="s">
        <v>12</v>
      </c>
      <c r="G108" s="1" t="str">
        <f>IF(Tabela135[[#This Row],[Mineral]]=$U$4,$V$4,IF(Tabela135[[#This Row],[Mineral]]=$U$5,$V$5,IF(Tabela135[[#This Row],[Mineral]]=$U$6,$V$6,IF(Tabela135[[#This Row],[Mineral]]=$U$7,$V$7,$V$8))))</f>
        <v>Mnz</v>
      </c>
      <c r="H108" s="1">
        <v>1804</v>
      </c>
      <c r="I108" s="4">
        <v>8</v>
      </c>
      <c r="J108" s="5" t="s">
        <v>5</v>
      </c>
      <c r="K108" s="1" t="s">
        <v>104</v>
      </c>
      <c r="M108" s="5" t="s">
        <v>176</v>
      </c>
      <c r="N108" s="1">
        <v>58.262500000000003</v>
      </c>
      <c r="O108" s="1">
        <v>58.262500000000003</v>
      </c>
      <c r="P108" s="1">
        <v>570466</v>
      </c>
      <c r="Q108" s="1">
        <v>6458556</v>
      </c>
      <c r="R108" s="2" t="s">
        <v>122</v>
      </c>
      <c r="S108" s="2" t="s">
        <v>129</v>
      </c>
    </row>
    <row r="109" spans="1:19" x14ac:dyDescent="0.25">
      <c r="A109" s="1" t="s">
        <v>90</v>
      </c>
      <c r="B109" s="2" t="s">
        <v>66</v>
      </c>
      <c r="C109" s="2" t="s">
        <v>67</v>
      </c>
      <c r="D109" s="1" t="s">
        <v>3</v>
      </c>
      <c r="E109" s="1" t="s">
        <v>148</v>
      </c>
      <c r="F109" s="1" t="s">
        <v>8</v>
      </c>
      <c r="G109" s="1" t="str">
        <f>IF(Tabela135[[#This Row],[Mineral]]=$U$4,$V$4,IF(Tabela135[[#This Row],[Mineral]]=$U$5,$V$5,IF(Tabela135[[#This Row],[Mineral]]=$U$6,$V$6,IF(Tabela135[[#This Row],[Mineral]]=$U$7,$V$7,$V$8))))</f>
        <v>Zrn</v>
      </c>
      <c r="H109" s="1" t="s">
        <v>68</v>
      </c>
      <c r="I109" s="4" t="s">
        <v>15</v>
      </c>
      <c r="J109" s="5" t="s">
        <v>47</v>
      </c>
      <c r="K109" s="1" t="s">
        <v>104</v>
      </c>
      <c r="M109" s="5" t="s">
        <v>172</v>
      </c>
      <c r="N109" s="1">
        <v>-103.90194444444445</v>
      </c>
      <c r="O109" s="1">
        <v>58.225277777777777</v>
      </c>
      <c r="P109" s="1">
        <v>564493</v>
      </c>
      <c r="Q109" s="1">
        <v>6454320</v>
      </c>
      <c r="R109" s="2" t="s">
        <v>122</v>
      </c>
      <c r="S109" s="2" t="s">
        <v>129</v>
      </c>
    </row>
    <row r="110" spans="1:19" x14ac:dyDescent="0.25">
      <c r="A110" s="1" t="s">
        <v>90</v>
      </c>
      <c r="B110" s="2" t="s">
        <v>66</v>
      </c>
      <c r="C110" s="2" t="s">
        <v>67</v>
      </c>
      <c r="D110" s="1" t="s">
        <v>3</v>
      </c>
      <c r="E110" s="1" t="s">
        <v>148</v>
      </c>
      <c r="F110" s="1" t="s">
        <v>4</v>
      </c>
      <c r="G110" s="1" t="str">
        <f>IF(Tabela135[[#This Row],[Mineral]]=$U$4,$V$4,IF(Tabela135[[#This Row],[Mineral]]=$U$5,$V$5,IF(Tabela135[[#This Row],[Mineral]]=$U$6,$V$6,IF(Tabela135[[#This Row],[Mineral]]=$U$7,$V$7,$V$8))))</f>
        <v>Ttn</v>
      </c>
      <c r="H110" s="1">
        <v>1752</v>
      </c>
      <c r="I110" s="4">
        <v>2</v>
      </c>
      <c r="J110" s="5" t="s">
        <v>5</v>
      </c>
      <c r="K110" s="1" t="s">
        <v>104</v>
      </c>
      <c r="M110" s="5" t="s">
        <v>172</v>
      </c>
      <c r="N110" s="1">
        <v>-103.90194444444445</v>
      </c>
      <c r="O110" s="1">
        <v>58.225277777777777</v>
      </c>
      <c r="P110" s="1">
        <v>564493</v>
      </c>
      <c r="Q110" s="1">
        <v>6454320</v>
      </c>
      <c r="R110" s="2" t="s">
        <v>122</v>
      </c>
      <c r="S110" s="2" t="s">
        <v>129</v>
      </c>
    </row>
    <row r="111" spans="1:19" x14ac:dyDescent="0.25">
      <c r="B111" s="2" t="s">
        <v>244</v>
      </c>
      <c r="C111" s="2" t="s">
        <v>136</v>
      </c>
      <c r="D111" s="1" t="s">
        <v>3</v>
      </c>
      <c r="E111" s="1" t="s">
        <v>242</v>
      </c>
      <c r="F111" s="1" t="s">
        <v>12</v>
      </c>
      <c r="G111" s="1" t="str">
        <f>IF(Tabela135[[#This Row],[Mineral]]=$U$4,$V$4,IF(Tabela135[[#This Row],[Mineral]]=$U$5,$V$5,IF(Tabela135[[#This Row],[Mineral]]=$U$6,$V$6,IF(Tabela135[[#This Row],[Mineral]]=$U$7,$V$7,$V$8))))</f>
        <v>Mnz</v>
      </c>
      <c r="H111" s="1" t="s">
        <v>246</v>
      </c>
      <c r="J111" s="5" t="s">
        <v>247</v>
      </c>
      <c r="K111" s="1" t="s">
        <v>104</v>
      </c>
      <c r="L111" s="1">
        <v>32.6</v>
      </c>
      <c r="M111" s="5" t="s">
        <v>245</v>
      </c>
      <c r="N111" s="1" t="s">
        <v>278</v>
      </c>
      <c r="O111" s="1" t="s">
        <v>278</v>
      </c>
      <c r="R111" s="2" t="s">
        <v>249</v>
      </c>
    </row>
    <row r="112" spans="1:19" x14ac:dyDescent="0.25">
      <c r="B112" s="2" t="s">
        <v>264</v>
      </c>
      <c r="C112" s="2" t="s">
        <v>28</v>
      </c>
      <c r="D112" s="1" t="s">
        <v>3</v>
      </c>
      <c r="E112" s="1" t="s">
        <v>257</v>
      </c>
      <c r="F112" s="1" t="s">
        <v>241</v>
      </c>
      <c r="G112" s="1" t="str">
        <f>IF(Tabela135[[#This Row],[Mineral]]=$U$4,$V$4,IF(Tabela135[[#This Row],[Mineral]]=$U$5,$V$5,IF(Tabela135[[#This Row],[Mineral]]=$U$6,$V$6,IF(Tabela135[[#This Row],[Mineral]]=$U$7,$V$7,$V$8))))</f>
        <v>Urn</v>
      </c>
      <c r="H112" s="1">
        <v>1730</v>
      </c>
      <c r="I112" s="4" t="s">
        <v>265</v>
      </c>
      <c r="J112" s="5" t="s">
        <v>267</v>
      </c>
      <c r="L112" s="1">
        <v>233</v>
      </c>
      <c r="M112" s="5" t="s">
        <v>263</v>
      </c>
      <c r="N112" s="1" t="s">
        <v>278</v>
      </c>
      <c r="O112" s="1" t="s">
        <v>278</v>
      </c>
      <c r="R112" s="3" t="s">
        <v>256</v>
      </c>
    </row>
    <row r="113" spans="1:19" x14ac:dyDescent="0.25">
      <c r="B113" s="2" t="s">
        <v>239</v>
      </c>
      <c r="C113" s="2" t="s">
        <v>136</v>
      </c>
      <c r="D113" s="1" t="s">
        <v>3</v>
      </c>
      <c r="E113" s="1" t="s">
        <v>242</v>
      </c>
      <c r="F113" s="1" t="s">
        <v>241</v>
      </c>
      <c r="G113" s="1" t="str">
        <f>IF(Tabela135[[#This Row],[Mineral]]=$U$4,$V$4,IF(Tabela135[[#This Row],[Mineral]]=$U$5,$V$5,IF(Tabela135[[#This Row],[Mineral]]=$U$6,$V$6,IF(Tabela135[[#This Row],[Mineral]]=$U$7,$V$7,$V$8))))</f>
        <v>Urn</v>
      </c>
      <c r="H113" s="1" t="s">
        <v>243</v>
      </c>
      <c r="J113" s="5" t="s">
        <v>138</v>
      </c>
      <c r="K113" s="1" t="s">
        <v>104</v>
      </c>
      <c r="L113" s="1">
        <v>93.5</v>
      </c>
      <c r="M113" s="5" t="s">
        <v>240</v>
      </c>
      <c r="N113" s="1" t="s">
        <v>278</v>
      </c>
      <c r="O113" s="1" t="s">
        <v>278</v>
      </c>
      <c r="R113" s="2" t="s">
        <v>248</v>
      </c>
    </row>
    <row r="114" spans="1:19" x14ac:dyDescent="0.25">
      <c r="A114" s="1" t="s">
        <v>48</v>
      </c>
      <c r="B114" s="2" t="s">
        <v>39</v>
      </c>
      <c r="C114" s="2" t="s">
        <v>40</v>
      </c>
      <c r="D114" s="1" t="s">
        <v>3</v>
      </c>
      <c r="E114" s="1" t="s">
        <v>148</v>
      </c>
      <c r="F114" s="1" t="s">
        <v>12</v>
      </c>
      <c r="G114" s="1" t="str">
        <f>IF(Tabela135[[#This Row],[Mineral]]=$U$4,$V$4,IF(Tabela135[[#This Row],[Mineral]]=$U$5,$V$5,IF(Tabela135[[#This Row],[Mineral]]=$U$6,$V$6,IF(Tabela135[[#This Row],[Mineral]]=$U$7,$V$7,$V$8))))</f>
        <v>Mnz</v>
      </c>
      <c r="H114" s="1">
        <v>1800</v>
      </c>
      <c r="I114" s="4">
        <v>2</v>
      </c>
      <c r="J114" s="5" t="s">
        <v>5</v>
      </c>
      <c r="K114" s="1" t="s">
        <v>104</v>
      </c>
      <c r="L114" s="1" t="s">
        <v>212</v>
      </c>
      <c r="M114" s="5" t="s">
        <v>115</v>
      </c>
      <c r="N114" s="1">
        <v>-105.46944444444445</v>
      </c>
      <c r="O114" s="1">
        <v>57.480277777777779</v>
      </c>
      <c r="P114" s="1">
        <v>471825</v>
      </c>
      <c r="Q114" s="1">
        <v>6370970</v>
      </c>
      <c r="R114" s="2" t="s">
        <v>124</v>
      </c>
    </row>
    <row r="115" spans="1:19" x14ac:dyDescent="0.25">
      <c r="A115" s="1" t="s">
        <v>48</v>
      </c>
      <c r="B115" s="2" t="s">
        <v>39</v>
      </c>
      <c r="C115" s="2" t="s">
        <v>40</v>
      </c>
      <c r="D115" s="1" t="s">
        <v>3</v>
      </c>
      <c r="E115" s="1" t="s">
        <v>148</v>
      </c>
      <c r="F115" s="1" t="s">
        <v>12</v>
      </c>
      <c r="G115" s="1" t="str">
        <f>IF(Tabela135[[#This Row],[Mineral]]=$U$4,$V$4,IF(Tabela135[[#This Row],[Mineral]]=$U$5,$V$5,IF(Tabela135[[#This Row],[Mineral]]=$U$6,$V$6,IF(Tabela135[[#This Row],[Mineral]]=$U$7,$V$7,$V$8))))</f>
        <v>Mnz</v>
      </c>
      <c r="H115" s="1">
        <v>1806</v>
      </c>
      <c r="I115" s="4">
        <v>2</v>
      </c>
      <c r="J115" s="5" t="s">
        <v>5</v>
      </c>
      <c r="K115" s="1" t="s">
        <v>104</v>
      </c>
      <c r="L115" s="1" t="s">
        <v>213</v>
      </c>
      <c r="M115" s="5" t="s">
        <v>115</v>
      </c>
      <c r="N115" s="1">
        <v>-105.46944444444445</v>
      </c>
      <c r="O115" s="1">
        <v>57.480277777777779</v>
      </c>
      <c r="P115" s="1">
        <v>471825</v>
      </c>
      <c r="Q115" s="1">
        <v>6370970</v>
      </c>
      <c r="R115" s="2" t="s">
        <v>124</v>
      </c>
    </row>
    <row r="116" spans="1:19" x14ac:dyDescent="0.25">
      <c r="A116" s="1" t="s">
        <v>48</v>
      </c>
      <c r="B116" s="2" t="s">
        <v>39</v>
      </c>
      <c r="C116" s="2" t="s">
        <v>40</v>
      </c>
      <c r="D116" s="1" t="s">
        <v>3</v>
      </c>
      <c r="E116" s="1" t="s">
        <v>148</v>
      </c>
      <c r="F116" s="1" t="s">
        <v>12</v>
      </c>
      <c r="G116" s="1" t="str">
        <f>IF(Tabela135[[#This Row],[Mineral]]=$U$4,$V$4,IF(Tabela135[[#This Row],[Mineral]]=$U$5,$V$5,IF(Tabela135[[#This Row],[Mineral]]=$U$6,$V$6,IF(Tabela135[[#This Row],[Mineral]]=$U$7,$V$7,$V$8))))</f>
        <v>Mnz</v>
      </c>
      <c r="H116" s="1">
        <v>1807</v>
      </c>
      <c r="I116" s="4">
        <v>2</v>
      </c>
      <c r="J116" s="5" t="s">
        <v>5</v>
      </c>
      <c r="K116" s="1" t="s">
        <v>104</v>
      </c>
      <c r="L116" s="1" t="s">
        <v>214</v>
      </c>
      <c r="M116" s="5" t="s">
        <v>115</v>
      </c>
      <c r="N116" s="1">
        <v>-105.46944444444445</v>
      </c>
      <c r="O116" s="1">
        <v>57.480277777777779</v>
      </c>
      <c r="P116" s="1">
        <v>471825</v>
      </c>
      <c r="Q116" s="1">
        <v>6370970</v>
      </c>
      <c r="R116" s="2" t="s">
        <v>124</v>
      </c>
    </row>
    <row r="117" spans="1:19" x14ac:dyDescent="0.25">
      <c r="A117" s="1" t="s">
        <v>48</v>
      </c>
      <c r="B117" s="2" t="s">
        <v>37</v>
      </c>
      <c r="C117" s="2" t="s">
        <v>38</v>
      </c>
      <c r="D117" s="1" t="s">
        <v>3</v>
      </c>
      <c r="E117" s="1" t="s">
        <v>148</v>
      </c>
      <c r="F117" s="1" t="s">
        <v>8</v>
      </c>
      <c r="G117" s="1" t="str">
        <f>IF(Tabela135[[#This Row],[Mineral]]=$U$4,$V$4,IF(Tabela135[[#This Row],[Mineral]]=$U$5,$V$5,IF(Tabela135[[#This Row],[Mineral]]=$U$6,$V$6,IF(Tabela135[[#This Row],[Mineral]]=$U$7,$V$7,$V$8))))</f>
        <v>Zrn</v>
      </c>
      <c r="H117" s="1">
        <v>1818</v>
      </c>
      <c r="I117" s="4">
        <v>1</v>
      </c>
      <c r="J117" s="5" t="s">
        <v>47</v>
      </c>
      <c r="K117" s="1" t="s">
        <v>104</v>
      </c>
      <c r="L117" s="1" t="s">
        <v>210</v>
      </c>
      <c r="M117" s="5" t="s">
        <v>115</v>
      </c>
      <c r="N117" s="1">
        <v>-105.30722222222222</v>
      </c>
      <c r="O117" s="1">
        <v>57.508333333333333</v>
      </c>
      <c r="P117" s="1">
        <v>481567</v>
      </c>
      <c r="Q117" s="1">
        <v>6374041</v>
      </c>
      <c r="R117" s="2" t="s">
        <v>124</v>
      </c>
    </row>
    <row r="118" spans="1:19" x14ac:dyDescent="0.25">
      <c r="A118" s="1" t="s">
        <v>48</v>
      </c>
      <c r="B118" s="2" t="s">
        <v>37</v>
      </c>
      <c r="C118" s="2" t="s">
        <v>38</v>
      </c>
      <c r="D118" s="1" t="s">
        <v>3</v>
      </c>
      <c r="E118" s="1" t="s">
        <v>148</v>
      </c>
      <c r="F118" s="1" t="s">
        <v>12</v>
      </c>
      <c r="G118" s="1" t="str">
        <f>IF(Tabela135[[#This Row],[Mineral]]=$U$4,$V$4,IF(Tabela135[[#This Row],[Mineral]]=$U$5,$V$5,IF(Tabela135[[#This Row],[Mineral]]=$U$6,$V$6,IF(Tabela135[[#This Row],[Mineral]]=$U$7,$V$7,$V$8))))</f>
        <v>Mnz</v>
      </c>
      <c r="H118" s="1">
        <v>1783</v>
      </c>
      <c r="I118" s="4" t="s">
        <v>171</v>
      </c>
      <c r="J118" s="5" t="s">
        <v>5</v>
      </c>
      <c r="K118" s="1" t="s">
        <v>104</v>
      </c>
      <c r="L118" s="1" t="s">
        <v>210</v>
      </c>
      <c r="M118" s="5" t="s">
        <v>115</v>
      </c>
      <c r="N118" s="1">
        <v>-105.30722222222222</v>
      </c>
      <c r="O118" s="1">
        <v>57.508333333333333</v>
      </c>
      <c r="P118" s="1">
        <v>481567</v>
      </c>
      <c r="Q118" s="1">
        <v>6374041</v>
      </c>
      <c r="R118" s="2" t="s">
        <v>124</v>
      </c>
    </row>
    <row r="119" spans="1:19" x14ac:dyDescent="0.25">
      <c r="A119" s="1" t="s">
        <v>48</v>
      </c>
      <c r="B119" s="2" t="s">
        <v>37</v>
      </c>
      <c r="C119" s="2" t="s">
        <v>38</v>
      </c>
      <c r="D119" s="1" t="s">
        <v>3</v>
      </c>
      <c r="E119" s="1" t="s">
        <v>148</v>
      </c>
      <c r="F119" s="1" t="s">
        <v>12</v>
      </c>
      <c r="G119" s="1" t="str">
        <f>IF(Tabela135[[#This Row],[Mineral]]=$U$4,$V$4,IF(Tabela135[[#This Row],[Mineral]]=$U$5,$V$5,IF(Tabela135[[#This Row],[Mineral]]=$U$6,$V$6,IF(Tabela135[[#This Row],[Mineral]]=$U$7,$V$7,$V$8))))</f>
        <v>Mnz</v>
      </c>
      <c r="H119" s="1">
        <v>1797</v>
      </c>
      <c r="I119" s="4">
        <v>1</v>
      </c>
      <c r="J119" s="5" t="s">
        <v>5</v>
      </c>
      <c r="K119" s="1" t="s">
        <v>104</v>
      </c>
      <c r="L119" s="1" t="s">
        <v>210</v>
      </c>
      <c r="M119" s="5" t="s">
        <v>115</v>
      </c>
      <c r="N119" s="1">
        <v>-105.30722222222222</v>
      </c>
      <c r="O119" s="1">
        <v>57.508333333333333</v>
      </c>
      <c r="P119" s="1">
        <v>481567</v>
      </c>
      <c r="Q119" s="1">
        <v>6374041</v>
      </c>
      <c r="R119" s="2" t="s">
        <v>124</v>
      </c>
    </row>
    <row r="120" spans="1:19" x14ac:dyDescent="0.25">
      <c r="A120" s="1" t="s">
        <v>48</v>
      </c>
      <c r="B120" s="2" t="s">
        <v>37</v>
      </c>
      <c r="C120" s="2" t="s">
        <v>38</v>
      </c>
      <c r="D120" s="1" t="s">
        <v>3</v>
      </c>
      <c r="E120" s="1" t="s">
        <v>148</v>
      </c>
      <c r="F120" s="1" t="s">
        <v>12</v>
      </c>
      <c r="G120" s="1" t="str">
        <f>IF(Tabela135[[#This Row],[Mineral]]=$U$4,$V$4,IF(Tabela135[[#This Row],[Mineral]]=$U$5,$V$5,IF(Tabela135[[#This Row],[Mineral]]=$U$6,$V$6,IF(Tabela135[[#This Row],[Mineral]]=$U$7,$V$7,$V$8))))</f>
        <v>Mnz</v>
      </c>
      <c r="H120" s="1">
        <v>1810</v>
      </c>
      <c r="I120" s="4">
        <v>1</v>
      </c>
      <c r="J120" s="5" t="s">
        <v>5</v>
      </c>
      <c r="K120" s="1" t="s">
        <v>104</v>
      </c>
      <c r="L120" s="1" t="s">
        <v>211</v>
      </c>
      <c r="M120" s="5" t="s">
        <v>115</v>
      </c>
      <c r="N120" s="1">
        <v>-105.30722222222222</v>
      </c>
      <c r="O120" s="1">
        <v>57.508333333333333</v>
      </c>
      <c r="P120" s="1">
        <v>481567</v>
      </c>
      <c r="Q120" s="1">
        <v>6374041</v>
      </c>
      <c r="R120" s="2" t="s">
        <v>124</v>
      </c>
    </row>
    <row r="121" spans="1:19" x14ac:dyDescent="0.25">
      <c r="A121" s="1" t="s">
        <v>48</v>
      </c>
      <c r="B121" s="2" t="s">
        <v>37</v>
      </c>
      <c r="C121" s="2" t="s">
        <v>146</v>
      </c>
      <c r="D121" s="1" t="s">
        <v>3</v>
      </c>
      <c r="E121" s="1" t="s">
        <v>148</v>
      </c>
      <c r="F121" s="1" t="s">
        <v>8</v>
      </c>
      <c r="G121" s="1" t="str">
        <f>IF(Tabela135[[#This Row],[Mineral]]=$U$4,$V$4,IF(Tabela135[[#This Row],[Mineral]]=$U$5,$V$5,IF(Tabela135[[#This Row],[Mineral]]=$U$6,$V$6,IF(Tabela135[[#This Row],[Mineral]]=$U$7,$V$7,$V$8))))</f>
        <v>Zrn</v>
      </c>
      <c r="H121" s="1">
        <v>1824.3</v>
      </c>
      <c r="I121" s="4">
        <v>3.3</v>
      </c>
      <c r="J121" s="5" t="s">
        <v>162</v>
      </c>
      <c r="K121" s="1" t="s">
        <v>104</v>
      </c>
      <c r="L121" s="1" t="s">
        <v>209</v>
      </c>
      <c r="M121" s="5" t="s">
        <v>115</v>
      </c>
      <c r="N121" s="1">
        <v>57.508333333333333</v>
      </c>
      <c r="O121" s="1">
        <v>57.508333333333333</v>
      </c>
      <c r="P121" s="1">
        <v>481567</v>
      </c>
      <c r="Q121" s="1">
        <v>6374041</v>
      </c>
      <c r="R121" s="2" t="s">
        <v>124</v>
      </c>
    </row>
    <row r="122" spans="1:19" x14ac:dyDescent="0.25">
      <c r="A122" s="1" t="s">
        <v>48</v>
      </c>
      <c r="B122" s="2" t="s">
        <v>37</v>
      </c>
      <c r="C122" s="2" t="s">
        <v>146</v>
      </c>
      <c r="D122" s="1" t="s">
        <v>3</v>
      </c>
      <c r="E122" s="1" t="s">
        <v>148</v>
      </c>
      <c r="F122" s="1" t="s">
        <v>8</v>
      </c>
      <c r="G122" s="1" t="str">
        <f>IF(Tabela135[[#This Row],[Mineral]]=$U$4,$V$4,IF(Tabela135[[#This Row],[Mineral]]=$U$5,$V$5,IF(Tabela135[[#This Row],[Mineral]]=$U$6,$V$6,IF(Tabela135[[#This Row],[Mineral]]=$U$7,$V$7,$V$8))))</f>
        <v>Zrn</v>
      </c>
      <c r="H122" s="1">
        <v>1086</v>
      </c>
      <c r="I122" s="4" t="s">
        <v>15</v>
      </c>
      <c r="J122" s="5" t="s">
        <v>189</v>
      </c>
      <c r="K122" s="1" t="s">
        <v>104</v>
      </c>
      <c r="L122" s="1" t="s">
        <v>209</v>
      </c>
      <c r="M122" s="5" t="s">
        <v>115</v>
      </c>
      <c r="N122" s="1">
        <v>57.508333333333333</v>
      </c>
      <c r="O122" s="1">
        <v>57.508333333333333</v>
      </c>
      <c r="P122" s="1">
        <v>481567</v>
      </c>
      <c r="Q122" s="1">
        <v>6374041</v>
      </c>
      <c r="R122" s="2" t="s">
        <v>124</v>
      </c>
    </row>
    <row r="123" spans="1:19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</row>
    <row r="124" spans="1:19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B0A5A5-2DA0-482C-980F-8ABECDFB2D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Final_table</vt:lpstr>
      <vt:lpstr>others</vt:lpstr>
      <vt:lpstr>Order table</vt:lpstr>
      <vt:lpstr>Xlookup_table</vt:lpstr>
      <vt:lpstr>Unique_values</vt:lpstr>
      <vt:lpstr>No_duplicates</vt:lpstr>
      <vt:lpstr>Working table</vt:lpstr>
      <vt:lpstr>Raw</vt:lpstr>
      <vt:lpstr>Working table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Fernando Cardenas Vera</dc:creator>
  <cp:lastModifiedBy>Joseph Alexander</cp:lastModifiedBy>
  <dcterms:created xsi:type="dcterms:W3CDTF">2024-09-12T19:29:46Z</dcterms:created>
  <dcterms:modified xsi:type="dcterms:W3CDTF">2025-11-19T04:10:25Z</dcterms:modified>
</cp:coreProperties>
</file>